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드립백 패키지" sheetId="1" state="visible" r:id="rId1"/>
    <sheet xmlns:r="http://schemas.openxmlformats.org/officeDocument/2006/relationships" name="포장 원가" sheetId="2" state="visible" r:id="rId2"/>
    <sheet xmlns:r="http://schemas.openxmlformats.org/officeDocument/2006/relationships" name="원두 소요량" sheetId="3" state="visible" r:id="rId3"/>
    <sheet xmlns:r="http://schemas.openxmlformats.org/officeDocument/2006/relationships" name="구수 라떼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\원"/>
    <numFmt numFmtId="165" formatCode="#,##0&quot;세트&quot;"/>
    <numFmt numFmtId="166" formatCode="0.0%"/>
    <numFmt numFmtId="167" formatCode="0.0"/>
    <numFmt numFmtId="168" formatCode="#,##0\개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WenQuanYi Zen Hei"/>
      <family val="2"/>
      <b val="1"/>
      <sz val="14"/>
    </font>
    <font>
      <name val="Pretendard"/>
      <charset val="1"/>
      <family val="0"/>
      <b val="1"/>
      <sz val="14"/>
    </font>
    <font>
      <name val="WenQuanYi Zen Hei"/>
      <family val="2"/>
      <color rgb="FF666666"/>
      <sz val="11"/>
    </font>
    <font>
      <name val="Pretendard"/>
      <charset val="1"/>
      <family val="0"/>
      <color rgb="FF666666"/>
      <sz val="11"/>
    </font>
    <font>
      <name val="WenQuanYi Zen Hei"/>
      <family val="2"/>
      <b val="1"/>
      <sz val="11"/>
    </font>
    <font>
      <name val="Pretendard"/>
      <charset val="1"/>
      <family val="0"/>
      <b val="1"/>
      <sz val="11"/>
    </font>
    <font>
      <name val="WenQuanYi Zen Hei"/>
      <family val="2"/>
      <sz val="11"/>
    </font>
    <font>
      <name val="Pretendard"/>
      <charset val="1"/>
      <family val="0"/>
      <color rgb="FF0000FF"/>
      <sz val="11"/>
    </font>
    <font>
      <name val="Pretendard"/>
      <charset val="1"/>
      <family val="0"/>
      <sz val="11"/>
    </font>
    <font>
      <name val="WenQuanYi Zen Hei"/>
      <family val="2"/>
      <color rgb="FFC00000"/>
      <sz val="11"/>
    </font>
    <font>
      <name val="Pretendard"/>
      <charset val="1"/>
      <family val="0"/>
      <color rgb="FFC00000"/>
      <sz val="11"/>
    </font>
    <font>
      <name val="Pretendard"/>
      <b val="1"/>
    </font>
    <font>
      <name val="Pretendard"/>
    </font>
    <font>
      <name val="Pretendard"/>
      <color rgb="00A2401C"/>
      <sz val="9"/>
    </font>
  </fonts>
  <fills count="4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00FFF4CC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1" fillId="2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general" vertical="bottom"/>
    </xf>
    <xf numFmtId="1" fontId="11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9" fontId="11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7" fontId="12" fillId="0" borderId="0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7" fontId="9" fillId="0" borderId="2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1" fillId="2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general" vertical="bottom"/>
    </xf>
    <xf numFmtId="1" fontId="11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pivotButton="0" quotePrefix="0" xfId="0"/>
    <xf numFmtId="0" fontId="16" fillId="0" borderId="0" pivotButton="0" quotePrefix="0" xfId="0"/>
    <xf numFmtId="3" fontId="16" fillId="3" borderId="0" pivotButton="0" quotePrefix="0" xfId="0"/>
    <xf numFmtId="3" fontId="16" fillId="0" borderId="0" pivotButton="0" quotePrefix="0" xfId="0"/>
    <xf numFmtId="3" fontId="15" fillId="0" borderId="0" pivotButton="0" quotePrefix="0" xfId="0"/>
    <xf numFmtId="3" fontId="0" fillId="0" borderId="0" pivotButton="0" quotePrefix="0" xfId="0"/>
    <xf numFmtId="9" fontId="11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7" fontId="12" fillId="0" borderId="0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7" fontId="9" fillId="0" borderId="2" applyAlignment="1" pivotButton="0" quotePrefix="0" xfId="0">
      <alignment horizontal="general" vertical="bottom"/>
    </xf>
    <xf numFmtId="168" fontId="9" fillId="0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6" min="1" max="1"/>
    <col width="14" customWidth="1" style="26" min="2" max="3"/>
    <col width="12" customWidth="1" style="26" min="4" max="4"/>
    <col width="18" customWidth="1" style="26" min="5" max="5"/>
  </cols>
  <sheetData>
    <row r="1" ht="19.4" customHeight="1" s="27">
      <c r="A1" s="28" t="inlineStr">
        <is>
          <t>카페쇼 드립백 패키지 원가·이익 (2026-10-06)</t>
        </is>
      </c>
    </row>
    <row r="2" ht="15" customHeight="1" s="27">
      <c r="A2" s="29" t="inlineStr">
        <is>
          <t>노란 칸(파란 글씨)만 바꾸면 다시 계산돼요. 원가 숫자는 대표님 자료(10/6).</t>
        </is>
      </c>
    </row>
    <row r="4" ht="15" customHeight="1" s="27">
      <c r="A4" s="30" t="inlineStr">
        <is>
          <t>원두(20g)</t>
        </is>
      </c>
      <c r="B4" s="30" t="inlineStr">
        <is>
          <t>원두값</t>
        </is>
      </c>
      <c r="C4" s="30" t="inlineStr">
        <is>
          <t>봉투+필터</t>
        </is>
      </c>
      <c r="D4" s="30" t="inlineStr">
        <is>
          <t>작업비</t>
        </is>
      </c>
      <c r="E4" s="30" t="inlineStr">
        <is>
          <t>드립백 1개 원가</t>
        </is>
      </c>
    </row>
    <row r="5" ht="15" customHeight="1" s="27">
      <c r="A5" s="31" t="inlineStr">
        <is>
          <t>허벌 블렌드</t>
        </is>
      </c>
      <c r="B5" s="32" t="n">
        <v>1037</v>
      </c>
      <c r="C5" s="32" t="n">
        <v>209</v>
      </c>
      <c r="D5" s="32" t="n">
        <v>11</v>
      </c>
      <c r="E5" s="33">
        <f>SUM(B5:D5)</f>
        <v/>
      </c>
      <c r="F5" s="59" t="inlineStr">
        <is>
          <t>10/28 수정: 싱글 게이샤(1,253) → 허벌 블렌드. 추정: 생두 (52,000×0.67 + 28,000×0.33) ÷ 0.85 = 51,859원/kg × 20g (원두주문_덤_이익.xlsx와 같은 가정)</t>
        </is>
      </c>
    </row>
    <row r="6" ht="15" customHeight="1" s="27">
      <c r="A6" s="31" t="inlineStr">
        <is>
          <t>구수</t>
        </is>
      </c>
      <c r="B6" s="32" t="n">
        <v>313</v>
      </c>
      <c r="C6" s="32" t="n">
        <v>209</v>
      </c>
      <c r="D6" s="32" t="n">
        <v>11</v>
      </c>
      <c r="E6" s="33">
        <f>SUM(B6:D6)</f>
        <v/>
      </c>
    </row>
    <row r="7" ht="15" customHeight="1" s="27">
      <c r="A7" s="31" t="inlineStr">
        <is>
          <t>코스모스</t>
        </is>
      </c>
      <c r="B7" s="32" t="n">
        <v>559</v>
      </c>
      <c r="C7" s="32" t="n">
        <v>209</v>
      </c>
      <c r="D7" s="32" t="n">
        <v>11</v>
      </c>
      <c r="E7" s="33">
        <f>SUM(B7:D7)</f>
        <v/>
      </c>
    </row>
    <row r="8" ht="15" customHeight="1" s="27">
      <c r="A8" s="31" t="inlineStr">
        <is>
          <t>보통</t>
        </is>
      </c>
      <c r="B8" s="32" t="n">
        <v>304</v>
      </c>
      <c r="C8" s="32" t="n">
        <v>209</v>
      </c>
      <c r="D8" s="32" t="n">
        <v>11</v>
      </c>
      <c r="E8" s="33">
        <f>SUM(B8:D8)</f>
        <v/>
      </c>
    </row>
    <row r="9" ht="15" customHeight="1" s="27">
      <c r="A9" s="34" t="inlineStr">
        <is>
          <t>합계 (4개 = 1패키지)</t>
        </is>
      </c>
      <c r="B9" s="35">
        <f>SUM(B5:B8)</f>
        <v/>
      </c>
      <c r="C9" s="35">
        <f>SUM(C5:C8)</f>
        <v/>
      </c>
      <c r="D9" s="35">
        <f>SUM(D5:D8)</f>
        <v/>
      </c>
      <c r="E9" s="35">
        <f>SUM(E5:E8)</f>
        <v/>
      </c>
    </row>
    <row r="11" ht="15" customHeight="1" s="27">
      <c r="A11" s="34" t="inlineStr">
        <is>
          <t>패키지·가격</t>
        </is>
      </c>
    </row>
    <row r="12" ht="15" customHeight="1" s="27">
      <c r="A12" s="31" t="inlineStr">
        <is>
          <t>포장 원가(무지 박스 + 보자기, 1세트)</t>
        </is>
      </c>
      <c r="B12" s="32">
        <f>'포장 원가'!D11</f>
        <v/>
      </c>
      <c r="C12" s="29" t="inlineStr">
        <is>
          <t>포장 원가 시트에서 계산(박스 + 보자기 + 인쇄, 공급가액, 10/21)</t>
        </is>
      </c>
    </row>
    <row r="13" ht="15" customHeight="1" s="27">
      <c r="A13" s="31" t="inlineStr">
        <is>
          <t>정가(드립백 4개 + 포장)</t>
        </is>
      </c>
      <c r="B13" s="32" t="n">
        <v>12000</v>
      </c>
      <c r="C13" s="29" t="inlineStr">
        <is>
          <t>대표님 10/6: 2,500원×4 + 포장 2,000원</t>
        </is>
      </c>
    </row>
    <row r="14" ht="15" customHeight="1" s="27">
      <c r="A14" s="31" t="inlineStr">
        <is>
          <t>카페쇼 할인가</t>
        </is>
      </c>
      <c r="B14" s="32" t="n">
        <v>10000</v>
      </c>
      <c r="C14" s="29" t="inlineStr">
        <is>
          <t>대표님 10/6 제안</t>
        </is>
      </c>
    </row>
    <row r="15" ht="15" customHeight="1" s="27">
      <c r="A15" s="31" t="inlineStr">
        <is>
          <t>준비 수량(세트)</t>
        </is>
      </c>
      <c r="B15" s="36" t="n">
        <v>500</v>
      </c>
      <c r="C15" s="29" t="inlineStr">
        <is>
          <t>대표님 10/6</t>
        </is>
      </c>
    </row>
    <row r="16" ht="15" customHeight="1" s="27">
      <c r="A16" s="31" t="inlineStr">
        <is>
          <t>과세 유형: 부가세 포함가면 1</t>
        </is>
      </c>
      <c r="B16" s="37" t="n">
        <v>1</v>
      </c>
      <c r="C16" s="29" t="inlineStr">
        <is>
          <t>가정: 일반과세자(판매가에 부가세 10% 포함). 간이과세면 세무사 확인</t>
        </is>
      </c>
    </row>
    <row r="17" ht="15" customHeight="1" s="27">
      <c r="A17" s="38" t="inlineStr">
        <is>
          <t>1세트 기준</t>
        </is>
      </c>
    </row>
    <row r="18" ht="15" customHeight="1" s="27">
      <c r="A18" s="39" t="inlineStr">
        <is>
          <t>1세트 원가(드립백 4개 + 포장)</t>
        </is>
      </c>
      <c r="B18" s="40">
        <f>E9+B12</f>
        <v/>
      </c>
    </row>
    <row r="19" ht="15" customHeight="1" s="27">
      <c r="A19" s="31" t="inlineStr">
        <is>
          <t>할인율</t>
        </is>
      </c>
      <c r="B19" s="41">
        <f>1-B14/B13</f>
        <v/>
      </c>
    </row>
    <row r="20" ht="15" customHeight="1" s="27">
      <c r="A20" s="31" t="inlineStr">
        <is>
          <t>할인가의 공급가액</t>
        </is>
      </c>
      <c r="B20" s="33">
        <f>IF(B16=1,ROUND(B14/1.1,0),B14)</f>
        <v/>
      </c>
    </row>
    <row r="21" ht="15" customHeight="1" s="27">
      <c r="A21" s="31" t="inlineStr">
        <is>
          <t>할인가의 부가세</t>
        </is>
      </c>
      <c r="B21" s="33">
        <f>B14-B20</f>
        <v/>
      </c>
    </row>
    <row r="22" ht="15" customHeight="1" s="27">
      <c r="A22" s="39" t="inlineStr">
        <is>
          <t>1세트 이익(공급가액 − 원가)</t>
        </is>
      </c>
      <c r="B22" s="40">
        <f>B20-B18</f>
        <v/>
      </c>
    </row>
    <row r="23" ht="15" customHeight="1" s="27">
      <c r="A23" s="39" t="inlineStr">
        <is>
          <t>1세트 이익률(공급가액 기준)</t>
        </is>
      </c>
      <c r="B23" s="41">
        <f>IF(B20=0,0,B22/B20)</f>
        <v/>
      </c>
    </row>
    <row r="25" ht="15" customHeight="1" s="27">
      <c r="A25" s="34" t="inlineStr">
        <is>
          <t>전량 판매 시 (준비 수량 기준)</t>
        </is>
      </c>
    </row>
    <row r="26" ht="15" customHeight="1" s="27">
      <c r="A26" s="31" t="inlineStr">
        <is>
          <t>매출(부가세 포함)</t>
        </is>
      </c>
      <c r="B26" s="33">
        <f>B14*B15</f>
        <v/>
      </c>
    </row>
    <row r="27" ht="15" customHeight="1" s="27">
      <c r="A27" s="31" t="inlineStr">
        <is>
          <t>부가세(납부 예정)</t>
        </is>
      </c>
      <c r="B27" s="33">
        <f>B21*B15</f>
        <v/>
      </c>
    </row>
    <row r="28" ht="15" customHeight="1" s="27">
      <c r="A28" s="31" t="inlineStr">
        <is>
          <t>원가 합계</t>
        </is>
      </c>
      <c r="B28" s="33">
        <f>B18*B15</f>
        <v/>
      </c>
    </row>
    <row r="29" ht="15" customHeight="1" s="27">
      <c r="A29" s="31" t="inlineStr">
        <is>
          <t>이익</t>
        </is>
      </c>
      <c r="B29" s="40">
        <f>B22*B15</f>
        <v/>
      </c>
    </row>
    <row r="31" ht="15" customHeight="1" s="27">
      <c r="A31" s="42" t="inlineStr">
        <is>
          <t>※ 포장 원가는 10/21 견적·주문 기준이에요.</t>
        </is>
      </c>
    </row>
    <row r="32" ht="15" customHeight="1" s="27">
      <c r="A32" s="29" t="inlineStr">
        <is>
          <t>※ 부스비·인건비·시음 원가 등은 넣지 않은 드립백 세트만의 계산이에요.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style="27" min="1" max="1"/>
    <col width="14" customWidth="1" style="27" min="2" max="2"/>
    <col width="14" customWidth="1" style="27" min="3" max="3"/>
    <col width="14" customWidth="1" style="27" min="4" max="4"/>
    <col width="46" customWidth="1" style="27" min="5" max="5"/>
  </cols>
  <sheetData>
    <row r="1">
      <c r="A1" s="43" t="inlineStr">
        <is>
          <t>드립백 세트 포장 원가 (10/21 견적·주문)</t>
        </is>
      </c>
    </row>
    <row r="2">
      <c r="A2" s="44" t="inlineStr">
        <is>
          <t>금액은 업체가 보낸 값 그대로. 공급가액 = 부가세 포함 ÷ 1.1</t>
        </is>
      </c>
    </row>
    <row r="4">
      <c r="A4" s="43" t="inlineStr">
        <is>
          <t>품목</t>
        </is>
      </c>
      <c r="B4" s="43" t="inlineStr">
        <is>
          <t>수량</t>
        </is>
      </c>
      <c r="C4" s="43" t="inlineStr">
        <is>
          <t>부가세 포함(원)</t>
        </is>
      </c>
      <c r="D4" s="43" t="inlineStr">
        <is>
          <t>공급가액(원)</t>
        </is>
      </c>
      <c r="E4" s="43" t="inlineStr">
        <is>
          <t>근거</t>
        </is>
      </c>
    </row>
    <row r="5">
      <c r="A5" s="44" t="inlineStr">
        <is>
          <t>드립백 박스(화이트 슬리브 상자)</t>
        </is>
      </c>
      <c r="B5" s="44" t="n">
        <v>500</v>
      </c>
      <c r="C5" s="45" t="n">
        <v>260000</v>
      </c>
      <c r="D5" s="46">
        <f>ROUND(C5/1.1,0)</f>
        <v/>
      </c>
      <c r="E5" s="44" t="inlineStr">
        <is>
          <t>메이크팩 주문 260,000원. 추정: 스토어 가격이 부가세 포함이라고 봄</t>
        </is>
      </c>
    </row>
    <row r="6">
      <c r="A6" s="44" t="inlineStr">
        <is>
          <t>광목 60수 보자기 50×50(파랑 테두리)</t>
        </is>
      </c>
      <c r="B6" s="44" t="n">
        <v>500</v>
      </c>
      <c r="C6" s="45">
        <f>700000*1.1</f>
        <v/>
      </c>
      <c r="D6" s="46" t="n">
        <v>700000</v>
      </c>
      <c r="E6" s="44" t="inlineStr">
        <is>
          <t xml:space="preserve"> 티엔와이컴퍼니 견적: 500장×1,400원 (공급가)</t>
        </is>
      </c>
    </row>
    <row r="7">
      <c r="A7" s="44" t="inlineStr">
        <is>
          <t>보자기 인쇄 1도 실크스크린 10×10</t>
        </is>
      </c>
      <c r="B7" s="44" t="n">
        <v>500</v>
      </c>
      <c r="C7" s="45">
        <f>125000*1.1</f>
        <v/>
      </c>
      <c r="D7" s="46" t="n">
        <v>125000</v>
      </c>
      <c r="E7" s="44" t="inlineStr">
        <is>
          <t>500장×250원 (공급가)</t>
        </is>
      </c>
    </row>
    <row r="8">
      <c r="A8" s="44" t="n"/>
      <c r="B8" s="44" t="inlineStr"/>
      <c r="C8" s="46" t="n"/>
      <c r="D8" s="46" t="n"/>
      <c r="E8" s="44" t="n"/>
    </row>
    <row r="9">
      <c r="A9" s="43" t="inlineStr">
        <is>
          <t>합계</t>
        </is>
      </c>
      <c r="B9" s="43" t="inlineStr"/>
      <c r="C9" s="47">
        <f>C5+C6+C7</f>
        <v/>
      </c>
      <c r="D9" s="47">
        <f>D5+D6+D7</f>
        <v/>
      </c>
      <c r="E9" s="43" t="inlineStr">
        <is>
          <t>보자기 907,500원(부가세 포함, 견적서와 일치) + 박스 260,000원</t>
        </is>
      </c>
    </row>
    <row r="10">
      <c r="C10" s="48" t="n"/>
      <c r="D10" s="48" t="n"/>
    </row>
    <row r="11">
      <c r="A11" s="43" t="inlineStr">
        <is>
          <t>1세트 포장 원가(공급가액)</t>
        </is>
      </c>
      <c r="B11" s="43" t="inlineStr"/>
      <c r="C11" s="47" t="inlineStr"/>
      <c r="D11" s="47">
        <f>ROUND(D9/B5,0)</f>
        <v/>
      </c>
      <c r="E11" s="43" t="inlineStr">
        <is>
          <t>'드립백 패키지' 시트 B12에 연결</t>
        </is>
      </c>
    </row>
    <row r="12">
      <c r="A12" s="44" t="inlineStr">
        <is>
          <t>1세트 포장 원가(부가세 포함)</t>
        </is>
      </c>
      <c r="B12" s="44" t="inlineStr"/>
      <c r="C12" s="46">
        <f>ROUND(C9/B5,0)</f>
        <v/>
      </c>
      <c r="D12" s="46" t="inlineStr"/>
      <c r="E12" s="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10" customWidth="1" style="26" min="2" max="2"/>
    <col width="12" customWidth="1" style="26" min="3" max="3"/>
    <col width="16" customWidth="1" style="26" min="4" max="4"/>
  </cols>
  <sheetData>
    <row r="1" ht="19.4" customHeight="1" s="27">
      <c r="A1" s="28" t="inlineStr">
        <is>
          <t>드립백 500세트 원두 소요량</t>
        </is>
      </c>
    </row>
    <row r="3" ht="15" customHeight="1" s="27">
      <c r="A3" s="31" t="inlineStr">
        <is>
          <t>로스팅 손실률</t>
        </is>
      </c>
      <c r="B3" s="49" t="n">
        <v>0.15</v>
      </c>
      <c r="C3" s="29" t="inlineStr">
        <is>
          <t>추정: 일반적인 범위로 넣은 값. 실제 로스팅 손실률로 바꿔 주세요</t>
        </is>
      </c>
    </row>
    <row r="4" ht="15" customHeight="1" s="27">
      <c r="A4" s="31" t="inlineStr">
        <is>
          <t>드립백 1개 원두량(g)</t>
        </is>
      </c>
      <c r="B4" s="50" t="n">
        <v>20</v>
      </c>
    </row>
    <row r="6" ht="15" customHeight="1" s="27">
      <c r="A6" s="30" t="inlineStr">
        <is>
          <t>원두</t>
        </is>
      </c>
      <c r="B6" s="30" t="inlineStr">
        <is>
          <t>개수</t>
        </is>
      </c>
      <c r="C6" s="30" t="inlineStr">
        <is>
          <t>원두(kg)</t>
        </is>
      </c>
      <c r="D6" s="30" t="inlineStr">
        <is>
          <t>생두 환산(kg)</t>
        </is>
      </c>
    </row>
    <row r="7" ht="15" customHeight="1" s="27">
      <c r="A7" s="31" t="inlineStr">
        <is>
          <t>허벌 블렌드</t>
        </is>
      </c>
      <c r="B7" s="51">
        <f>'드립백 패키지'!$B$15</f>
        <v/>
      </c>
      <c r="C7" s="52">
        <f>B7*$B$4/1000</f>
        <v/>
      </c>
      <c r="D7" s="52">
        <f>C7/(1-$B$3)</f>
        <v/>
      </c>
    </row>
    <row r="8" ht="15" customHeight="1" s="27">
      <c r="A8" s="31" t="inlineStr">
        <is>
          <t>구수</t>
        </is>
      </c>
      <c r="B8" s="51">
        <f>'드립백 패키지'!$B$15</f>
        <v/>
      </c>
      <c r="C8" s="52">
        <f>B8*$B$4/1000</f>
        <v/>
      </c>
      <c r="D8" s="52">
        <f>C8/(1-$B$3)</f>
        <v/>
      </c>
    </row>
    <row r="9" ht="15" customHeight="1" s="27">
      <c r="A9" s="31" t="inlineStr">
        <is>
          <t>코스모스</t>
        </is>
      </c>
      <c r="B9" s="51">
        <f>'드립백 패키지'!$B$15</f>
        <v/>
      </c>
      <c r="C9" s="52">
        <f>B9*$B$4/1000</f>
        <v/>
      </c>
      <c r="D9" s="52">
        <f>C9/(1-$B$3)</f>
        <v/>
      </c>
    </row>
    <row r="10" ht="15" customHeight="1" s="27">
      <c r="A10" s="31" t="inlineStr">
        <is>
          <t>보통</t>
        </is>
      </c>
      <c r="B10" s="51">
        <f>'드립백 패키지'!$B$15</f>
        <v/>
      </c>
      <c r="C10" s="52">
        <f>B10*$B$4/1000</f>
        <v/>
      </c>
      <c r="D10" s="52">
        <f>C10/(1-$B$3)</f>
        <v/>
      </c>
    </row>
    <row r="11" ht="15" customHeight="1" s="27">
      <c r="A11" s="34" t="inlineStr">
        <is>
          <t>합계</t>
        </is>
      </c>
      <c r="B11" s="53">
        <f>SUM(B7:B10)</f>
        <v/>
      </c>
      <c r="C11" s="54">
        <f>SUM(C7:C10)</f>
        <v/>
      </c>
      <c r="D11" s="54">
        <f>SUM(D7:D10)</f>
        <v/>
      </c>
    </row>
    <row r="13" ht="15" customHeight="1" s="27">
      <c r="A13" s="29" t="inlineStr">
        <is>
          <t>드립백 생산 개수 = 세트 × 4 (11/3~7 생산 기간 안에 끝내야 해요)</t>
        </is>
      </c>
    </row>
    <row r="14" ht="15" customHeight="1" s="27">
      <c r="A14" s="31" t="inlineStr">
        <is>
          <t>드립백 총 개수</t>
        </is>
      </c>
      <c r="B14" s="55">
        <f>B11</f>
        <v/>
      </c>
    </row>
    <row r="16">
      <c r="A16" t="inlineStr">
        <is>
          <t>허벌 생두 나누기(배합 67:33): 게이샤 = D7×0.67, 카투라 = D7×0.33</t>
        </is>
      </c>
      <c r="B16">
        <f>ROUND(D7*0.67,2)</f>
        <v/>
      </c>
      <c r="C16">
        <f>ROUND(D7*0.33,2)</f>
        <v/>
      </c>
      <c r="D16" t="inlineStr">
        <is>
          <t>← 게이샤 kg / 카투라 kg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12" customWidth="1" style="26" min="2" max="2"/>
    <col width="40" customWidth="1" style="26" min="3" max="3"/>
  </cols>
  <sheetData>
    <row r="1" ht="17.35" customHeight="1" s="27">
      <c r="A1" s="28" t="inlineStr">
        <is>
          <t>구수 라떼 배합량</t>
        </is>
      </c>
    </row>
    <row r="3" ht="15" customHeight="1" s="27">
      <c r="A3" s="31" t="inlineStr">
        <is>
          <t>에스프레소 1샷(g)</t>
        </is>
      </c>
      <c r="B3" s="50" t="n">
        <v>41</v>
      </c>
      <c r="C3" s="29" t="inlineStr">
        <is>
          <t>대표님 10/6: 20g 도징 → 41g 추출</t>
        </is>
      </c>
    </row>
    <row r="4" ht="15" customHeight="1" s="27">
      <c r="A4" s="31" t="inlineStr">
        <is>
          <t>우유 1회분(g)</t>
        </is>
      </c>
      <c r="B4" s="50" t="n">
        <v>280</v>
      </c>
      <c r="C4" s="29" t="inlineStr">
        <is>
          <t>대표님 10/6</t>
        </is>
      </c>
    </row>
    <row r="5" ht="15" customHeight="1" s="27">
      <c r="A5" s="31" t="inlineStr">
        <is>
          <t>한 통 배합 수</t>
        </is>
      </c>
      <c r="B5" s="50" t="n">
        <v>20</v>
      </c>
      <c r="C5" s="29" t="inlineStr">
        <is>
          <t>대표님 10/6</t>
        </is>
      </c>
    </row>
    <row r="6" ht="15" customHeight="1" s="27">
      <c r="A6" s="31" t="inlineStr">
        <is>
          <t>하루 손님 수(명)</t>
        </is>
      </c>
      <c r="B6" s="50" t="n">
        <v>240</v>
      </c>
      <c r="C6" s="29" t="inlineStr">
        <is>
          <t>처리량_계산.xlsx 최대치(토 180)</t>
        </is>
      </c>
    </row>
    <row r="7" ht="15" customHeight="1" s="27">
      <c r="A7" s="31" t="inlineStr">
        <is>
          <t>리필 받는 비율</t>
        </is>
      </c>
      <c r="B7" s="49" t="n">
        <v>0.3</v>
      </c>
      <c r="C7" s="29" t="inlineStr">
        <is>
          <t>추정: 처리량 계산과 같은 가정</t>
        </is>
      </c>
    </row>
    <row r="8" ht="15" customHeight="1" s="27">
      <c r="A8" s="39" t="inlineStr">
        <is>
          <t>1잔 양(g)</t>
        </is>
      </c>
      <c r="B8" s="50" t="n">
        <v>30</v>
      </c>
      <c r="C8" s="29" t="inlineStr">
        <is>
          <t>추정: 처리량 계산과 같은 가정</t>
        </is>
      </c>
    </row>
    <row r="10" ht="15" customHeight="1" s="27">
      <c r="A10" s="31" t="inlineStr">
        <is>
          <t>한 통 무게(kg)</t>
        </is>
      </c>
      <c r="B10" s="56">
        <f>(B3+B4)*B5/1000</f>
        <v/>
      </c>
    </row>
    <row r="11" ht="15" customHeight="1" s="27">
      <c r="A11" s="31" t="inlineStr">
        <is>
          <t>에스프레소 : 우유 비율 (1 : ?)</t>
        </is>
      </c>
      <c r="B11" s="56">
        <f>B4/B3</f>
        <v/>
      </c>
    </row>
    <row r="12" ht="15" customHeight="1" s="27">
      <c r="A12" s="31" t="inlineStr">
        <is>
          <t>하루 필요량(kg, 리필 포함)</t>
        </is>
      </c>
      <c r="B12" s="56">
        <f>B6*(1+B7)*B8/1000</f>
        <v/>
      </c>
    </row>
    <row r="13" ht="15" customHeight="1" s="27">
      <c r="A13" s="31" t="inlineStr">
        <is>
          <t>하루 필요한 통 수</t>
        </is>
      </c>
      <c r="B13" s="56">
        <f>B12/B10</f>
        <v/>
      </c>
    </row>
    <row r="14" ht="15" customHeight="1" s="27">
      <c r="A14" s="31" t="inlineStr">
        <is>
          <t>하루 에스프레소 샷 수</t>
        </is>
      </c>
      <c r="B14" s="57">
        <f>ROUNDUP(B13,0)*B5</f>
        <v/>
      </c>
    </row>
    <row r="16" ht="15" customHeight="1" s="27">
      <c r="A16" s="29" t="inlineStr">
        <is>
          <t>※ 설탕량은 아직 정해지지 않아 넣지 않았어요. 정해지면 행을 추가할게요.</t>
        </is>
      </c>
    </row>
    <row r="17" ht="15" customHeight="1" s="27">
      <c r="A17" s="58" t="inlineStr">
        <is>
          <t>※ 1잔 30g은 무게 기준 추정이에요(라떼는 ml와 g가 거의 같아요).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2026-10-06T08:51:47Z</dcterms:created>
  <dcterms:modified xmlns:dcterms="http://purl.org/dc/terms/" xmlns:xsi="http://www.w3.org/2001/XMLSchema-instance" xsi:type="dcterms:W3CDTF">2026-10-28T06:02:04Z</dcterms:modified>
  <cp:revision>0</cp:revision>
</cp:coreProperties>
</file>