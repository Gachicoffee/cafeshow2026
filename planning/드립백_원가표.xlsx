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드립백 패키지" sheetId="1" state="visible" r:id="rId3"/>
    <sheet name="원두 소요량" sheetId="2" state="visible" r:id="rId4"/>
    <sheet name="구수 라떼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<sst xmlns="http://schemas.openxmlformats.org/spreadsheetml/2006/main" count="72" uniqueCount="65">
  <si>
    <r>
      <rPr>
        <b val="true"/>
        <sz val="14"/>
        <rFont val="WenQuanYi Zen Hei"/>
        <family val="2"/>
      </rPr>
      <t xml:space="preserve">카페쇼 드립백 패키지 원가</t>
    </r>
    <r>
      <rPr>
        <b val="true"/>
        <sz val="14"/>
        <rFont val="Pretendard"/>
        <family val="0"/>
        <charset val="1"/>
      </rPr>
      <t xml:space="preserve">·</t>
    </r>
    <r>
      <rPr>
        <b val="true"/>
        <sz val="14"/>
        <rFont val="WenQuanYi Zen Hei"/>
        <family val="2"/>
      </rPr>
      <t xml:space="preserve">이익 </t>
    </r>
    <r>
      <rPr>
        <b val="true"/>
        <sz val="14"/>
        <rFont val="Pretendard"/>
        <family val="0"/>
        <charset val="1"/>
      </rPr>
      <t xml:space="preserve">(2026-10-06)</t>
    </r>
  </si>
  <si>
    <r>
      <rPr>
        <sz val="11"/>
        <color rgb="FF666666"/>
        <rFont val="WenQuanYi Zen Hei"/>
        <family val="2"/>
      </rPr>
      <t xml:space="preserve">노란 칸</t>
    </r>
    <r>
      <rPr>
        <sz val="11"/>
        <color rgb="FF666666"/>
        <rFont val="Pretendard"/>
        <family val="0"/>
        <charset val="1"/>
      </rPr>
      <t xml:space="preserve">(</t>
    </r>
    <r>
      <rPr>
        <sz val="11"/>
        <color rgb="FF666666"/>
        <rFont val="WenQuanYi Zen Hei"/>
        <family val="2"/>
      </rPr>
      <t xml:space="preserve">파란 글씨</t>
    </r>
    <r>
      <rPr>
        <sz val="11"/>
        <color rgb="FF666666"/>
        <rFont val="Pretendard"/>
        <family val="0"/>
        <charset val="1"/>
      </rPr>
      <t xml:space="preserve">)</t>
    </r>
    <r>
      <rPr>
        <sz val="11"/>
        <color rgb="FF666666"/>
        <rFont val="WenQuanYi Zen Hei"/>
        <family val="2"/>
      </rPr>
      <t xml:space="preserve">만 바꾸면 다시 계산돼요</t>
    </r>
    <r>
      <rPr>
        <sz val="11"/>
        <color rgb="FF666666"/>
        <rFont val="Pretendard"/>
        <family val="0"/>
        <charset val="1"/>
      </rPr>
      <t xml:space="preserve">. </t>
    </r>
    <r>
      <rPr>
        <sz val="11"/>
        <color rgb="FF666666"/>
        <rFont val="WenQuanYi Zen Hei"/>
        <family val="2"/>
      </rPr>
      <t xml:space="preserve">원가 숫자는 대표님 자료</t>
    </r>
    <r>
      <rPr>
        <sz val="11"/>
        <color rgb="FF666666"/>
        <rFont val="Pretendard"/>
        <family val="0"/>
        <charset val="1"/>
      </rPr>
      <t xml:space="preserve">(10/6).</t>
    </r>
  </si>
  <si>
    <r>
      <rPr>
        <b val="true"/>
        <sz val="11"/>
        <rFont val="WenQuanYi Zen Hei"/>
        <family val="2"/>
      </rPr>
      <t xml:space="preserve">원두</t>
    </r>
    <r>
      <rPr>
        <b val="true"/>
        <sz val="11"/>
        <rFont val="Pretendard"/>
        <family val="0"/>
        <charset val="1"/>
      </rPr>
      <t xml:space="preserve">(20g)</t>
    </r>
  </si>
  <si>
    <t xml:space="preserve">원두값</t>
  </si>
  <si>
    <r>
      <rPr>
        <b val="true"/>
        <sz val="11"/>
        <rFont val="WenQuanYi Zen Hei"/>
        <family val="2"/>
      </rPr>
      <t xml:space="preserve">봉투</t>
    </r>
    <r>
      <rPr>
        <b val="true"/>
        <sz val="11"/>
        <rFont val="Pretendard"/>
        <family val="0"/>
        <charset val="1"/>
      </rPr>
      <t xml:space="preserve">+</t>
    </r>
    <r>
      <rPr>
        <b val="true"/>
        <sz val="11"/>
        <rFont val="WenQuanYi Zen Hei"/>
        <family val="2"/>
      </rPr>
      <t xml:space="preserve">필터</t>
    </r>
  </si>
  <si>
    <t xml:space="preserve">작업비</t>
  </si>
  <si>
    <r>
      <rPr>
        <b val="true"/>
        <sz val="11"/>
        <rFont val="WenQuanYi Zen Hei"/>
        <family val="2"/>
      </rPr>
      <t xml:space="preserve">드립백 </t>
    </r>
    <r>
      <rPr>
        <b val="true"/>
        <sz val="11"/>
        <rFont val="Pretendard"/>
        <family val="0"/>
        <charset val="1"/>
      </rPr>
      <t xml:space="preserve">1</t>
    </r>
    <r>
      <rPr>
        <b val="true"/>
        <sz val="11"/>
        <rFont val="WenQuanYi Zen Hei"/>
        <family val="2"/>
      </rPr>
      <t xml:space="preserve">개 원가</t>
    </r>
  </si>
  <si>
    <t xml:space="preserve">라 에스메랄다 게이샤</t>
  </si>
  <si>
    <t xml:space="preserve">구수</t>
  </si>
  <si>
    <t xml:space="preserve">코스모스</t>
  </si>
  <si>
    <t xml:space="preserve">보통</t>
  </si>
  <si>
    <r>
      <rPr>
        <b val="true"/>
        <sz val="11"/>
        <rFont val="WenQuanYi Zen Hei"/>
        <family val="2"/>
      </rPr>
      <t xml:space="preserve">합계 </t>
    </r>
    <r>
      <rPr>
        <b val="true"/>
        <sz val="11"/>
        <rFont val="Pretendard"/>
        <family val="0"/>
        <charset val="1"/>
      </rPr>
      <t xml:space="preserve">(4</t>
    </r>
    <r>
      <rPr>
        <b val="true"/>
        <sz val="11"/>
        <rFont val="WenQuanYi Zen Hei"/>
        <family val="2"/>
      </rPr>
      <t xml:space="preserve">개 </t>
    </r>
    <r>
      <rPr>
        <b val="true"/>
        <sz val="11"/>
        <rFont val="Pretendard"/>
        <family val="0"/>
        <charset val="1"/>
      </rPr>
      <t xml:space="preserve">= 1</t>
    </r>
    <r>
      <rPr>
        <b val="true"/>
        <sz val="11"/>
        <rFont val="WenQuanYi Zen Hei"/>
        <family val="2"/>
      </rPr>
      <t xml:space="preserve">패키지</t>
    </r>
    <r>
      <rPr>
        <b val="true"/>
        <sz val="11"/>
        <rFont val="Pretendard"/>
        <family val="0"/>
        <charset val="1"/>
      </rPr>
      <t xml:space="preserve">)</t>
    </r>
  </si>
  <si>
    <r>
      <rPr>
        <b val="true"/>
        <sz val="11"/>
        <rFont val="WenQuanYi Zen Hei"/>
        <family val="2"/>
      </rPr>
      <t xml:space="preserve">패키지</t>
    </r>
    <r>
      <rPr>
        <b val="true"/>
        <sz val="11"/>
        <rFont val="Pretendard"/>
        <family val="0"/>
        <charset val="1"/>
      </rPr>
      <t xml:space="preserve">·</t>
    </r>
    <r>
      <rPr>
        <b val="true"/>
        <sz val="11"/>
        <rFont val="WenQuanYi Zen Hei"/>
        <family val="2"/>
      </rPr>
      <t xml:space="preserve">가격</t>
    </r>
  </si>
  <si>
    <r>
      <rPr>
        <sz val="11"/>
        <rFont val="WenQuanYi Zen Hei"/>
        <family val="2"/>
      </rPr>
      <t xml:space="preserve">포장 원가</t>
    </r>
    <r>
      <rPr>
        <sz val="11"/>
        <rFont val="Pretendard"/>
        <family val="0"/>
        <charset val="1"/>
      </rPr>
      <t xml:space="preserve">(</t>
    </r>
    <r>
      <rPr>
        <sz val="11"/>
        <rFont val="WenQuanYi Zen Hei"/>
        <family val="2"/>
      </rPr>
      <t xml:space="preserve">무지 박스 </t>
    </r>
    <r>
      <rPr>
        <sz val="11"/>
        <rFont val="Pretendard"/>
        <family val="0"/>
        <charset val="1"/>
      </rPr>
      <t xml:space="preserve">+ </t>
    </r>
    <r>
      <rPr>
        <sz val="11"/>
        <rFont val="WenQuanYi Zen Hei"/>
        <family val="2"/>
      </rPr>
      <t xml:space="preserve">보자기</t>
    </r>
    <r>
      <rPr>
        <sz val="11"/>
        <rFont val="Pretendard"/>
        <family val="0"/>
        <charset val="1"/>
      </rPr>
      <t xml:space="preserve">, 1</t>
    </r>
    <r>
      <rPr>
        <sz val="11"/>
        <rFont val="WenQuanYi Zen Hei"/>
        <family val="2"/>
      </rPr>
      <t xml:space="preserve">세트</t>
    </r>
    <r>
      <rPr>
        <sz val="11"/>
        <rFont val="Pretendard"/>
        <family val="0"/>
        <charset val="1"/>
      </rPr>
      <t xml:space="preserve">)</t>
    </r>
  </si>
  <si>
    <r>
      <rPr>
        <sz val="11"/>
        <color rgb="FF666666"/>
        <rFont val="WenQuanYi Zen Hei"/>
        <family val="2"/>
      </rPr>
      <t xml:space="preserve">자료 없음 — 견적 받으면 입력</t>
    </r>
    <r>
      <rPr>
        <sz val="11"/>
        <color rgb="FF666666"/>
        <rFont val="Pretendard"/>
        <family val="0"/>
        <charset val="1"/>
      </rPr>
      <t xml:space="preserve">. </t>
    </r>
    <r>
      <rPr>
        <sz val="11"/>
        <color rgb="FF666666"/>
        <rFont val="WenQuanYi Zen Hei"/>
        <family val="2"/>
      </rPr>
      <t xml:space="preserve">판매가에 넣은 </t>
    </r>
    <r>
      <rPr>
        <sz val="11"/>
        <color rgb="FF666666"/>
        <rFont val="Pretendard"/>
        <family val="0"/>
        <charset val="1"/>
      </rPr>
      <t xml:space="preserve">2,000</t>
    </r>
    <r>
      <rPr>
        <sz val="11"/>
        <color rgb="FF666666"/>
        <rFont val="WenQuanYi Zen Hei"/>
        <family val="2"/>
      </rPr>
      <t xml:space="preserve">원과는 다른 값</t>
    </r>
  </si>
  <si>
    <r>
      <rPr>
        <sz val="11"/>
        <rFont val="WenQuanYi Zen Hei"/>
        <family val="2"/>
      </rPr>
      <t xml:space="preserve">정가</t>
    </r>
    <r>
      <rPr>
        <sz val="11"/>
        <rFont val="Pretendard"/>
        <family val="0"/>
        <charset val="1"/>
      </rPr>
      <t xml:space="preserve">(</t>
    </r>
    <r>
      <rPr>
        <sz val="11"/>
        <rFont val="WenQuanYi Zen Hei"/>
        <family val="2"/>
      </rPr>
      <t xml:space="preserve">드립백 </t>
    </r>
    <r>
      <rPr>
        <sz val="11"/>
        <rFont val="Pretendard"/>
        <family val="0"/>
        <charset val="1"/>
      </rPr>
      <t xml:space="preserve">4</t>
    </r>
    <r>
      <rPr>
        <sz val="11"/>
        <rFont val="WenQuanYi Zen Hei"/>
        <family val="2"/>
      </rPr>
      <t xml:space="preserve">개 </t>
    </r>
    <r>
      <rPr>
        <sz val="11"/>
        <rFont val="Pretendard"/>
        <family val="0"/>
        <charset val="1"/>
      </rPr>
      <t xml:space="preserve">+ </t>
    </r>
    <r>
      <rPr>
        <sz val="11"/>
        <rFont val="WenQuanYi Zen Hei"/>
        <family val="2"/>
      </rPr>
      <t xml:space="preserve">포장</t>
    </r>
    <r>
      <rPr>
        <sz val="11"/>
        <rFont val="Pretendard"/>
        <family val="0"/>
        <charset val="1"/>
      </rPr>
      <t xml:space="preserve">)</t>
    </r>
  </si>
  <si>
    <r>
      <rPr>
        <sz val="11"/>
        <color rgb="FF666666"/>
        <rFont val="WenQuanYi Zen Hei"/>
        <family val="2"/>
      </rPr>
      <t xml:space="preserve">대표님 </t>
    </r>
    <r>
      <rPr>
        <sz val="11"/>
        <color rgb="FF666666"/>
        <rFont val="Pretendard"/>
        <family val="0"/>
        <charset val="1"/>
      </rPr>
      <t xml:space="preserve">10/6: 2,500</t>
    </r>
    <r>
      <rPr>
        <sz val="11"/>
        <color rgb="FF666666"/>
        <rFont val="WenQuanYi Zen Hei"/>
        <family val="2"/>
      </rPr>
      <t xml:space="preserve">원</t>
    </r>
    <r>
      <rPr>
        <sz val="11"/>
        <color rgb="FF666666"/>
        <rFont val="Pretendard"/>
        <family val="0"/>
        <charset val="1"/>
      </rPr>
      <t xml:space="preserve">×4 + </t>
    </r>
    <r>
      <rPr>
        <sz val="11"/>
        <color rgb="FF666666"/>
        <rFont val="WenQuanYi Zen Hei"/>
        <family val="2"/>
      </rPr>
      <t xml:space="preserve">포장 </t>
    </r>
    <r>
      <rPr>
        <sz val="11"/>
        <color rgb="FF666666"/>
        <rFont val="Pretendard"/>
        <family val="0"/>
        <charset val="1"/>
      </rPr>
      <t xml:space="preserve">2,000</t>
    </r>
    <r>
      <rPr>
        <sz val="11"/>
        <color rgb="FF666666"/>
        <rFont val="WenQuanYi Zen Hei"/>
        <family val="2"/>
      </rPr>
      <t xml:space="preserve">원</t>
    </r>
  </si>
  <si>
    <t xml:space="preserve">카페쇼 할인가</t>
  </si>
  <si>
    <r>
      <rPr>
        <sz val="11"/>
        <color rgb="FF666666"/>
        <rFont val="WenQuanYi Zen Hei"/>
        <family val="2"/>
      </rPr>
      <t xml:space="preserve">대표님 </t>
    </r>
    <r>
      <rPr>
        <sz val="11"/>
        <color rgb="FF666666"/>
        <rFont val="Pretendard"/>
        <family val="0"/>
        <charset val="1"/>
      </rPr>
      <t xml:space="preserve">10/6 </t>
    </r>
    <r>
      <rPr>
        <sz val="11"/>
        <color rgb="FF666666"/>
        <rFont val="WenQuanYi Zen Hei"/>
        <family val="2"/>
      </rPr>
      <t xml:space="preserve">제안</t>
    </r>
  </si>
  <si>
    <r>
      <rPr>
        <sz val="11"/>
        <rFont val="WenQuanYi Zen Hei"/>
        <family val="2"/>
      </rPr>
      <t xml:space="preserve">준비 수량</t>
    </r>
    <r>
      <rPr>
        <sz val="11"/>
        <rFont val="Pretendard"/>
        <family val="0"/>
        <charset val="1"/>
      </rPr>
      <t xml:space="preserve">(</t>
    </r>
    <r>
      <rPr>
        <sz val="11"/>
        <rFont val="WenQuanYi Zen Hei"/>
        <family val="2"/>
      </rPr>
      <t xml:space="preserve">세트</t>
    </r>
    <r>
      <rPr>
        <sz val="11"/>
        <rFont val="Pretendard"/>
        <family val="0"/>
        <charset val="1"/>
      </rPr>
      <t xml:space="preserve">)</t>
    </r>
  </si>
  <si>
    <r>
      <rPr>
        <sz val="11"/>
        <color rgb="FF666666"/>
        <rFont val="WenQuanYi Zen Hei"/>
        <family val="2"/>
      </rPr>
      <t xml:space="preserve">대표님 </t>
    </r>
    <r>
      <rPr>
        <sz val="11"/>
        <color rgb="FF666666"/>
        <rFont val="Pretendard"/>
        <family val="0"/>
        <charset val="1"/>
      </rPr>
      <t xml:space="preserve">10/6</t>
    </r>
  </si>
  <si>
    <r>
      <rPr>
        <sz val="11"/>
        <rFont val="WenQuanYi Zen Hei"/>
        <family val="2"/>
      </rPr>
      <t xml:space="preserve">과세 유형</t>
    </r>
    <r>
      <rPr>
        <sz val="11"/>
        <rFont val="Pretendard"/>
        <family val="0"/>
        <charset val="1"/>
      </rPr>
      <t xml:space="preserve">: </t>
    </r>
    <r>
      <rPr>
        <sz val="11"/>
        <rFont val="WenQuanYi Zen Hei"/>
        <family val="2"/>
      </rPr>
      <t xml:space="preserve">부가세 포함가면 </t>
    </r>
    <r>
      <rPr>
        <sz val="11"/>
        <rFont val="Pretendard"/>
        <family val="0"/>
        <charset val="1"/>
      </rPr>
      <t xml:space="preserve">1</t>
    </r>
  </si>
  <si>
    <r>
      <rPr>
        <sz val="11"/>
        <color rgb="FF666666"/>
        <rFont val="WenQuanYi Zen Hei"/>
        <family val="2"/>
      </rPr>
      <t xml:space="preserve">가정</t>
    </r>
    <r>
      <rPr>
        <sz val="11"/>
        <color rgb="FF666666"/>
        <rFont val="Pretendard"/>
        <family val="0"/>
        <charset val="1"/>
      </rPr>
      <t xml:space="preserve">: </t>
    </r>
    <r>
      <rPr>
        <sz val="11"/>
        <color rgb="FF666666"/>
        <rFont val="WenQuanYi Zen Hei"/>
        <family val="2"/>
      </rPr>
      <t xml:space="preserve">일반과세자</t>
    </r>
    <r>
      <rPr>
        <sz val="11"/>
        <color rgb="FF666666"/>
        <rFont val="Pretendard"/>
        <family val="0"/>
        <charset val="1"/>
      </rPr>
      <t xml:space="preserve">(</t>
    </r>
    <r>
      <rPr>
        <sz val="11"/>
        <color rgb="FF666666"/>
        <rFont val="WenQuanYi Zen Hei"/>
        <family val="2"/>
      </rPr>
      <t xml:space="preserve">판매가에 부가세 </t>
    </r>
    <r>
      <rPr>
        <sz val="11"/>
        <color rgb="FF666666"/>
        <rFont val="Pretendard"/>
        <family val="0"/>
        <charset val="1"/>
      </rPr>
      <t xml:space="preserve">10% </t>
    </r>
    <r>
      <rPr>
        <sz val="11"/>
        <color rgb="FF666666"/>
        <rFont val="WenQuanYi Zen Hei"/>
        <family val="2"/>
      </rPr>
      <t xml:space="preserve">포함</t>
    </r>
    <r>
      <rPr>
        <sz val="11"/>
        <color rgb="FF666666"/>
        <rFont val="Pretendard"/>
        <family val="0"/>
        <charset val="1"/>
      </rPr>
      <t xml:space="preserve">). </t>
    </r>
    <r>
      <rPr>
        <sz val="11"/>
        <color rgb="FF666666"/>
        <rFont val="WenQuanYi Zen Hei"/>
        <family val="2"/>
      </rPr>
      <t xml:space="preserve">간이과세면 세무사 확인</t>
    </r>
  </si>
  <si>
    <r>
      <rPr>
        <b val="true"/>
        <sz val="11"/>
        <rFont val="Pretendard"/>
        <family val="0"/>
        <charset val="1"/>
      </rPr>
      <t xml:space="preserve">1</t>
    </r>
    <r>
      <rPr>
        <b val="true"/>
        <sz val="11"/>
        <rFont val="WenQuanYi Zen Hei"/>
        <family val="2"/>
      </rPr>
      <t xml:space="preserve">세트 기준</t>
    </r>
  </si>
  <si>
    <r>
      <rPr>
        <sz val="11"/>
        <rFont val="Pretendard"/>
        <family val="0"/>
        <charset val="1"/>
      </rPr>
      <t xml:space="preserve">1</t>
    </r>
    <r>
      <rPr>
        <sz val="11"/>
        <rFont val="WenQuanYi Zen Hei"/>
        <family val="2"/>
      </rPr>
      <t xml:space="preserve">세트 원가</t>
    </r>
    <r>
      <rPr>
        <sz val="11"/>
        <rFont val="Pretendard"/>
        <family val="0"/>
        <charset val="1"/>
      </rPr>
      <t xml:space="preserve">(</t>
    </r>
    <r>
      <rPr>
        <sz val="11"/>
        <rFont val="WenQuanYi Zen Hei"/>
        <family val="2"/>
      </rPr>
      <t xml:space="preserve">드립백 </t>
    </r>
    <r>
      <rPr>
        <sz val="11"/>
        <rFont val="Pretendard"/>
        <family val="0"/>
        <charset val="1"/>
      </rPr>
      <t xml:space="preserve">4</t>
    </r>
    <r>
      <rPr>
        <sz val="11"/>
        <rFont val="WenQuanYi Zen Hei"/>
        <family val="2"/>
      </rPr>
      <t xml:space="preserve">개 </t>
    </r>
    <r>
      <rPr>
        <sz val="11"/>
        <rFont val="Pretendard"/>
        <family val="0"/>
        <charset val="1"/>
      </rPr>
      <t xml:space="preserve">+ </t>
    </r>
    <r>
      <rPr>
        <sz val="11"/>
        <rFont val="WenQuanYi Zen Hei"/>
        <family val="2"/>
      </rPr>
      <t xml:space="preserve">포장</t>
    </r>
    <r>
      <rPr>
        <sz val="11"/>
        <rFont val="Pretendard"/>
        <family val="0"/>
        <charset val="1"/>
      </rPr>
      <t xml:space="preserve">)</t>
    </r>
  </si>
  <si>
    <t xml:space="preserve">할인율</t>
  </si>
  <si>
    <t xml:space="preserve">할인가의 공급가액</t>
  </si>
  <si>
    <t xml:space="preserve">할인가의 부가세</t>
  </si>
  <si>
    <r>
      <rPr>
        <sz val="11"/>
        <rFont val="Pretendard"/>
        <family val="0"/>
        <charset val="1"/>
      </rPr>
      <t xml:space="preserve">1</t>
    </r>
    <r>
      <rPr>
        <sz val="11"/>
        <rFont val="WenQuanYi Zen Hei"/>
        <family val="2"/>
      </rPr>
      <t xml:space="preserve">세트 이익</t>
    </r>
    <r>
      <rPr>
        <sz val="11"/>
        <rFont val="Pretendard"/>
        <family val="0"/>
        <charset val="1"/>
      </rPr>
      <t xml:space="preserve">(</t>
    </r>
    <r>
      <rPr>
        <sz val="11"/>
        <rFont val="WenQuanYi Zen Hei"/>
        <family val="2"/>
      </rPr>
      <t xml:space="preserve">공급가액 − 원가</t>
    </r>
    <r>
      <rPr>
        <sz val="11"/>
        <rFont val="Pretendard"/>
        <family val="0"/>
        <charset val="1"/>
      </rPr>
      <t xml:space="preserve">)</t>
    </r>
  </si>
  <si>
    <r>
      <rPr>
        <sz val="11"/>
        <rFont val="Pretendard"/>
        <family val="0"/>
        <charset val="1"/>
      </rPr>
      <t xml:space="preserve">1</t>
    </r>
    <r>
      <rPr>
        <sz val="11"/>
        <rFont val="WenQuanYi Zen Hei"/>
        <family val="2"/>
      </rPr>
      <t xml:space="preserve">세트 이익률</t>
    </r>
    <r>
      <rPr>
        <sz val="11"/>
        <rFont val="Pretendard"/>
        <family val="0"/>
        <charset val="1"/>
      </rPr>
      <t xml:space="preserve">(</t>
    </r>
    <r>
      <rPr>
        <sz val="11"/>
        <rFont val="WenQuanYi Zen Hei"/>
        <family val="2"/>
      </rPr>
      <t xml:space="preserve">공급가액 기준</t>
    </r>
    <r>
      <rPr>
        <sz val="11"/>
        <rFont val="Pretendard"/>
        <family val="0"/>
        <charset val="1"/>
      </rPr>
      <t xml:space="preserve">)</t>
    </r>
  </si>
  <si>
    <r>
      <rPr>
        <b val="true"/>
        <sz val="11"/>
        <rFont val="WenQuanYi Zen Hei"/>
        <family val="2"/>
      </rPr>
      <t xml:space="preserve">전량 판매 시 </t>
    </r>
    <r>
      <rPr>
        <b val="true"/>
        <sz val="11"/>
        <rFont val="Pretendard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준비 수량 기준</t>
    </r>
    <r>
      <rPr>
        <b val="true"/>
        <sz val="11"/>
        <rFont val="Pretendard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</si>
  <si>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매출</t>
    </r>
    <r>
      <rPr>
        <sz val="11"/>
        <rFont val="Pretendard"/>
        <family val="0"/>
        <charset val="1"/>
      </rPr>
      <t xml:space="preserve">(</t>
    </r>
    <r>
      <rPr>
        <sz val="11"/>
        <rFont val="WenQuanYi Zen Hei"/>
        <family val="2"/>
      </rPr>
      <t xml:space="preserve">부가세 포함</t>
    </r>
    <r>
      <rPr>
        <sz val="11"/>
        <rFont val="Pretendard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</si>
  <si>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부가세</t>
    </r>
    <r>
      <rPr>
        <sz val="11"/>
        <rFont val="Pretendard"/>
        <family val="0"/>
        <charset val="1"/>
      </rPr>
      <t xml:space="preserve">(</t>
    </r>
    <r>
      <rPr>
        <sz val="11"/>
        <rFont val="WenQuanYi Zen Hei"/>
        <family val="2"/>
      </rPr>
      <t xml:space="preserve">납부 예정</t>
    </r>
    <r>
      <rPr>
        <sz val="11"/>
        <rFont val="Pretendard"/>
        <family val="0"/>
        <charset val="1"/>
      </rPr>
      <t xml:space="preserve">)</t>
    </r>
  </si>
  <si>
    <t xml:space="preserve">원가 합계</t>
  </si>
  <si>
    <t xml:space="preserve">이익</t>
  </si>
  <si>
    <r>
      <rPr>
        <sz val="11"/>
        <color rgb="FFC00000"/>
        <rFont val="WenQuanYi Zen Hei"/>
        <family val="2"/>
      </rPr>
      <t xml:space="preserve">※ 포장 원가가 비어 있으면</t>
    </r>
    <r>
      <rPr>
        <sz val="11"/>
        <color rgb="FFC00000"/>
        <rFont val="Pretendard"/>
        <family val="0"/>
        <charset val="1"/>
      </rPr>
      <t xml:space="preserve">(0</t>
    </r>
    <r>
      <rPr>
        <sz val="11"/>
        <color rgb="FFC00000"/>
        <rFont val="WenQuanYi Zen Hei"/>
        <family val="2"/>
      </rPr>
      <t xml:space="preserve">원</t>
    </r>
    <r>
      <rPr>
        <sz val="11"/>
        <color rgb="FFC00000"/>
        <rFont val="Pretendard"/>
        <family val="0"/>
        <charset val="1"/>
      </rPr>
      <t xml:space="preserve">) </t>
    </r>
    <r>
      <rPr>
        <sz val="11"/>
        <color rgb="FFC00000"/>
        <rFont val="WenQuanYi Zen Hei"/>
        <family val="2"/>
      </rPr>
      <t xml:space="preserve">이익이 실제보다 크게 나와요</t>
    </r>
    <r>
      <rPr>
        <sz val="11"/>
        <color rgb="FFC00000"/>
        <rFont val="Pretendard"/>
        <family val="0"/>
        <charset val="1"/>
      </rPr>
      <t xml:space="preserve">. </t>
    </r>
    <r>
      <rPr>
        <sz val="11"/>
        <color rgb="FFC00000"/>
        <rFont val="WenQuanYi Zen Hei"/>
        <family val="2"/>
      </rPr>
      <t xml:space="preserve">견적을 받으면 </t>
    </r>
    <r>
      <rPr>
        <sz val="11"/>
        <color rgb="FFC00000"/>
        <rFont val="Pretendard"/>
        <family val="0"/>
        <charset val="1"/>
      </rPr>
      <t xml:space="preserve">B12</t>
    </r>
    <r>
      <rPr>
        <sz val="11"/>
        <color rgb="FFC00000"/>
        <rFont val="WenQuanYi Zen Hei"/>
        <family val="2"/>
      </rPr>
      <t xml:space="preserve">에 넣어 주세요</t>
    </r>
    <r>
      <rPr>
        <sz val="11"/>
        <color rgb="FFC00000"/>
        <rFont val="Pretendard"/>
        <family val="0"/>
        <charset val="1"/>
      </rPr>
      <t xml:space="preserve">.</t>
    </r>
  </si>
  <si>
    <r>
      <rPr>
        <sz val="11"/>
        <color rgb="FF666666"/>
        <rFont val="WenQuanYi Zen Hei"/>
        <family val="2"/>
      </rPr>
      <t xml:space="preserve">※ 부스비</t>
    </r>
    <r>
      <rPr>
        <sz val="11"/>
        <color rgb="FF666666"/>
        <rFont val="Pretendard"/>
        <family val="0"/>
        <charset val="1"/>
      </rPr>
      <t xml:space="preserve">·</t>
    </r>
    <r>
      <rPr>
        <sz val="11"/>
        <color rgb="FF666666"/>
        <rFont val="WenQuanYi Zen Hei"/>
        <family val="2"/>
      </rPr>
      <t xml:space="preserve">인건비</t>
    </r>
    <r>
      <rPr>
        <sz val="11"/>
        <color rgb="FF666666"/>
        <rFont val="Pretendard"/>
        <family val="0"/>
        <charset val="1"/>
      </rPr>
      <t xml:space="preserve">·</t>
    </r>
    <r>
      <rPr>
        <sz val="11"/>
        <color rgb="FF666666"/>
        <rFont val="WenQuanYi Zen Hei"/>
        <family val="2"/>
      </rPr>
      <t xml:space="preserve">시음 원가 등은 넣지 않은 드립백 세트만의 계산이에요</t>
    </r>
    <r>
      <rPr>
        <sz val="11"/>
        <color rgb="FF666666"/>
        <rFont val="Pretendard"/>
        <family val="0"/>
        <charset val="1"/>
      </rPr>
      <t xml:space="preserve">.</t>
    </r>
  </si>
  <si>
    <r>
      <rPr>
        <b val="true"/>
        <sz val="14"/>
        <rFont val="WenQuanYi Zen Hei"/>
        <family val="2"/>
      </rPr>
      <t xml:space="preserve">드립백 </t>
    </r>
    <r>
      <rPr>
        <b val="true"/>
        <sz val="14"/>
        <rFont val="Pretendard"/>
        <family val="0"/>
        <charset val="1"/>
      </rPr>
      <t xml:space="preserve">500</t>
    </r>
    <r>
      <rPr>
        <b val="true"/>
        <sz val="14"/>
        <rFont val="WenQuanYi Zen Hei"/>
        <family val="2"/>
      </rPr>
      <t xml:space="preserve">세트 원두 소요량</t>
    </r>
  </si>
  <si>
    <t xml:space="preserve">로스팅 손실률</t>
  </si>
  <si>
    <r>
      <rPr>
        <sz val="11"/>
        <color rgb="FF666666"/>
        <rFont val="WenQuanYi Zen Hei"/>
        <family val="2"/>
      </rPr>
      <t xml:space="preserve">추정</t>
    </r>
    <r>
      <rPr>
        <sz val="11"/>
        <color rgb="FF666666"/>
        <rFont val="Pretendard"/>
        <family val="0"/>
        <charset val="1"/>
      </rPr>
      <t xml:space="preserve">: </t>
    </r>
    <r>
      <rPr>
        <sz val="11"/>
        <color rgb="FF666666"/>
        <rFont val="WenQuanYi Zen Hei"/>
        <family val="2"/>
      </rPr>
      <t xml:space="preserve">일반적인 범위로 넣은 값</t>
    </r>
    <r>
      <rPr>
        <sz val="11"/>
        <color rgb="FF666666"/>
        <rFont val="Pretendard"/>
        <family val="0"/>
        <charset val="1"/>
      </rPr>
      <t xml:space="preserve">. </t>
    </r>
    <r>
      <rPr>
        <sz val="11"/>
        <color rgb="FF666666"/>
        <rFont val="WenQuanYi Zen Hei"/>
        <family val="2"/>
      </rPr>
      <t xml:space="preserve">실제 로스팅 손실률로 바꿔 주세요</t>
    </r>
  </si>
  <si>
    <r>
      <rPr>
        <sz val="11"/>
        <rFont val="WenQuanYi Zen Hei"/>
        <family val="2"/>
      </rPr>
      <t xml:space="preserve">드립백 </t>
    </r>
    <r>
      <rPr>
        <sz val="11"/>
        <rFont val="Pretendard"/>
        <family val="0"/>
        <charset val="1"/>
      </rPr>
      <t xml:space="preserve">1</t>
    </r>
    <r>
      <rPr>
        <sz val="11"/>
        <rFont val="WenQuanYi Zen Hei"/>
        <family val="2"/>
      </rPr>
      <t xml:space="preserve">개 원두량</t>
    </r>
    <r>
      <rPr>
        <sz val="11"/>
        <rFont val="Pretendard"/>
        <family val="0"/>
        <charset val="1"/>
      </rPr>
      <t xml:space="preserve">(g)</t>
    </r>
  </si>
  <si>
    <t xml:space="preserve">원두</t>
  </si>
  <si>
    <t xml:space="preserve">개수</t>
  </si>
  <si>
    <r>
      <rPr>
        <b val="true"/>
        <sz val="11"/>
        <rFont val="WenQuanYi Zen Hei"/>
        <family val="2"/>
      </rPr>
      <t xml:space="preserve">원두</t>
    </r>
    <r>
      <rPr>
        <b val="true"/>
        <sz val="11"/>
        <rFont val="Pretendard"/>
        <family val="0"/>
        <charset val="1"/>
      </rPr>
      <t xml:space="preserve">(kg)</t>
    </r>
  </si>
  <si>
    <r>
      <rPr>
        <b val="true"/>
        <sz val="11"/>
        <rFont val="WenQuanYi Zen Hei"/>
        <family val="2"/>
      </rPr>
      <t xml:space="preserve">생두 환산</t>
    </r>
    <r>
      <rPr>
        <b val="true"/>
        <sz val="11"/>
        <rFont val="Pretendard"/>
        <family val="0"/>
        <charset val="1"/>
      </rPr>
      <t xml:space="preserve">(kg)</t>
    </r>
  </si>
  <si>
    <t xml:space="preserve">합계</t>
  </si>
  <si>
    <r>
      <rPr>
        <sz val="11"/>
        <color rgb="FF666666"/>
        <rFont val="WenQuanYi Zen Hei"/>
        <family val="2"/>
      </rPr>
      <t xml:space="preserve">드립백 생산 개수 </t>
    </r>
    <r>
      <rPr>
        <sz val="11"/>
        <color rgb="FF666666"/>
        <rFont val="Pretendard"/>
        <family val="0"/>
        <charset val="1"/>
      </rPr>
      <t xml:space="preserve">= </t>
    </r>
    <r>
      <rPr>
        <sz val="11"/>
        <color rgb="FF666666"/>
        <rFont val="WenQuanYi Zen Hei"/>
        <family val="2"/>
      </rPr>
      <t xml:space="preserve">세트 </t>
    </r>
    <r>
      <rPr>
        <sz val="11"/>
        <color rgb="FF666666"/>
        <rFont val="Pretendard"/>
        <family val="0"/>
        <charset val="1"/>
      </rPr>
      <t xml:space="preserve">× 4 (11/3~7 </t>
    </r>
    <r>
      <rPr>
        <sz val="11"/>
        <color rgb="FF666666"/>
        <rFont val="WenQuanYi Zen Hei"/>
        <family val="2"/>
      </rPr>
      <t xml:space="preserve">생산 기간 안에 끝내야 해요</t>
    </r>
    <r>
      <rPr>
        <sz val="11"/>
        <color rgb="FF666666"/>
        <rFont val="Pretendard"/>
        <family val="0"/>
        <charset val="1"/>
      </rPr>
      <t xml:space="preserve">)</t>
    </r>
  </si>
  <si>
    <t xml:space="preserve">드립백 총 개수</t>
  </si>
  <si>
    <t xml:space="preserve">구수 라떼 배합량</t>
  </si>
  <si>
    <r>
      <rPr>
        <sz val="11"/>
        <rFont val="WenQuanYi Zen Hei"/>
        <family val="2"/>
      </rPr>
      <t xml:space="preserve">에스프레소 </t>
    </r>
    <r>
      <rPr>
        <sz val="11"/>
        <rFont val="Pretendard"/>
        <family val="0"/>
        <charset val="1"/>
      </rPr>
      <t xml:space="preserve">1</t>
    </r>
    <r>
      <rPr>
        <sz val="11"/>
        <rFont val="WenQuanYi Zen Hei"/>
        <family val="2"/>
      </rPr>
      <t xml:space="preserve">샷</t>
    </r>
    <r>
      <rPr>
        <sz val="11"/>
        <rFont val="Pretendard"/>
        <family val="0"/>
        <charset val="1"/>
      </rPr>
      <t xml:space="preserve">(g)</t>
    </r>
  </si>
  <si>
    <r>
      <rPr>
        <sz val="11"/>
        <color rgb="FF666666"/>
        <rFont val="WenQuanYi Zen Hei"/>
        <family val="2"/>
      </rPr>
      <t xml:space="preserve">대표님 </t>
    </r>
    <r>
      <rPr>
        <sz val="11"/>
        <color rgb="FF666666"/>
        <rFont val="Pretendard"/>
        <family val="0"/>
        <charset val="1"/>
      </rPr>
      <t xml:space="preserve">10/6: 20g </t>
    </r>
    <r>
      <rPr>
        <sz val="11"/>
        <color rgb="FF666666"/>
        <rFont val="WenQuanYi Zen Hei"/>
        <family val="2"/>
      </rPr>
      <t xml:space="preserve">도징 → </t>
    </r>
    <r>
      <rPr>
        <sz val="11"/>
        <color rgb="FF666666"/>
        <rFont val="Pretendard"/>
        <family val="0"/>
        <charset val="1"/>
      </rPr>
      <t xml:space="preserve">41g </t>
    </r>
    <r>
      <rPr>
        <sz val="11"/>
        <color rgb="FF666666"/>
        <rFont val="WenQuanYi Zen Hei"/>
        <family val="2"/>
      </rPr>
      <t xml:space="preserve">추출</t>
    </r>
  </si>
  <si>
    <r>
      <rPr>
        <sz val="11"/>
        <rFont val="WenQuanYi Zen Hei"/>
        <family val="2"/>
      </rPr>
      <t xml:space="preserve">우유 </t>
    </r>
    <r>
      <rPr>
        <sz val="11"/>
        <rFont val="Pretendard"/>
        <family val="0"/>
        <charset val="1"/>
      </rPr>
      <t xml:space="preserve">1</t>
    </r>
    <r>
      <rPr>
        <sz val="11"/>
        <rFont val="WenQuanYi Zen Hei"/>
        <family val="2"/>
      </rPr>
      <t xml:space="preserve">회분</t>
    </r>
    <r>
      <rPr>
        <sz val="11"/>
        <rFont val="Pretendard"/>
        <family val="0"/>
        <charset val="1"/>
      </rPr>
      <t xml:space="preserve">(g)</t>
    </r>
  </si>
  <si>
    <t xml:space="preserve">한 통 배합 수</t>
  </si>
  <si>
    <r>
      <rPr>
        <sz val="11"/>
        <rFont val="WenQuanYi Zen Hei"/>
        <family val="2"/>
      </rPr>
      <t xml:space="preserve">하루 손님 수</t>
    </r>
    <r>
      <rPr>
        <sz val="11"/>
        <rFont val="Pretendard"/>
        <family val="0"/>
        <charset val="1"/>
      </rPr>
      <t xml:space="preserve">(</t>
    </r>
    <r>
      <rPr>
        <sz val="11"/>
        <rFont val="WenQuanYi Zen Hei"/>
        <family val="2"/>
      </rPr>
      <t xml:space="preserve">명</t>
    </r>
    <r>
      <rPr>
        <sz val="11"/>
        <rFont val="Pretendard"/>
        <family val="0"/>
        <charset val="1"/>
      </rPr>
      <t xml:space="preserve">)</t>
    </r>
  </si>
  <si>
    <r>
      <rPr>
        <sz val="11"/>
        <color rgb="FF666666"/>
        <rFont val="WenQuanYi Zen Hei"/>
        <family val="2"/>
      </rPr>
      <t xml:space="preserve">처리량</t>
    </r>
    <r>
      <rPr>
        <sz val="11"/>
        <color rgb="FF666666"/>
        <rFont val="Pretendard"/>
        <family val="0"/>
        <charset val="1"/>
      </rPr>
      <t xml:space="preserve">_</t>
    </r>
    <r>
      <rPr>
        <sz val="11"/>
        <color rgb="FF666666"/>
        <rFont val="WenQuanYi Zen Hei"/>
        <family val="2"/>
      </rPr>
      <t xml:space="preserve">계산</t>
    </r>
    <r>
      <rPr>
        <sz val="11"/>
        <color rgb="FF666666"/>
        <rFont val="Pretendard"/>
        <family val="0"/>
        <charset val="1"/>
      </rPr>
      <t xml:space="preserve">.xlsx </t>
    </r>
    <r>
      <rPr>
        <sz val="11"/>
        <color rgb="FF666666"/>
        <rFont val="WenQuanYi Zen Hei"/>
        <family val="2"/>
      </rPr>
      <t xml:space="preserve">최대치</t>
    </r>
    <r>
      <rPr>
        <sz val="11"/>
        <color rgb="FF666666"/>
        <rFont val="Pretendard"/>
        <family val="0"/>
        <charset val="1"/>
      </rPr>
      <t xml:space="preserve">(</t>
    </r>
    <r>
      <rPr>
        <sz val="11"/>
        <color rgb="FF666666"/>
        <rFont val="WenQuanYi Zen Hei"/>
        <family val="2"/>
      </rPr>
      <t xml:space="preserve">토 </t>
    </r>
    <r>
      <rPr>
        <sz val="11"/>
        <color rgb="FF666666"/>
        <rFont val="Pretendard"/>
        <family val="0"/>
        <charset val="1"/>
      </rPr>
      <t xml:space="preserve">180)</t>
    </r>
  </si>
  <si>
    <t xml:space="preserve">리필 받는 비율</t>
  </si>
  <si>
    <r>
      <rPr>
        <sz val="11"/>
        <color rgb="FF666666"/>
        <rFont val="WenQuanYi Zen Hei"/>
        <family val="2"/>
      </rPr>
      <t xml:space="preserve">추정</t>
    </r>
    <r>
      <rPr>
        <sz val="11"/>
        <color rgb="FF666666"/>
        <rFont val="Pretendard"/>
        <family val="0"/>
        <charset val="1"/>
      </rPr>
      <t xml:space="preserve">: </t>
    </r>
    <r>
      <rPr>
        <sz val="11"/>
        <color rgb="FF666666"/>
        <rFont val="WenQuanYi Zen Hei"/>
        <family val="2"/>
      </rPr>
      <t xml:space="preserve">처리량 계산과 같은 가정</t>
    </r>
  </si>
  <si>
    <r>
      <rPr>
        <sz val="11"/>
        <rFont val="Pretendard"/>
        <family val="0"/>
        <charset val="1"/>
      </rPr>
      <t xml:space="preserve">1</t>
    </r>
    <r>
      <rPr>
        <sz val="11"/>
        <rFont val="WenQuanYi Zen Hei"/>
        <family val="2"/>
      </rPr>
      <t xml:space="preserve">잔 양</t>
    </r>
    <r>
      <rPr>
        <sz val="11"/>
        <rFont val="Pretendard"/>
        <family val="0"/>
        <charset val="1"/>
      </rPr>
      <t xml:space="preserve">(g)</t>
    </r>
  </si>
  <si>
    <r>
      <rPr>
        <sz val="11"/>
        <rFont val="WenQuanYi Zen Hei"/>
        <family val="2"/>
      </rPr>
      <t xml:space="preserve">한 통 무게</t>
    </r>
    <r>
      <rPr>
        <sz val="11"/>
        <rFont val="Pretendard"/>
        <family val="0"/>
        <charset val="1"/>
      </rPr>
      <t xml:space="preserve">(kg)</t>
    </r>
  </si>
  <si>
    <r>
      <rPr>
        <sz val="11"/>
        <rFont val="WenQuanYi Zen Hei"/>
        <family val="2"/>
      </rPr>
      <t xml:space="preserve">에스프레소 </t>
    </r>
    <r>
      <rPr>
        <sz val="11"/>
        <rFont val="Pretendard"/>
        <family val="0"/>
        <charset val="1"/>
      </rPr>
      <t xml:space="preserve">: </t>
    </r>
    <r>
      <rPr>
        <sz val="11"/>
        <rFont val="WenQuanYi Zen Hei"/>
        <family val="2"/>
      </rPr>
      <t xml:space="preserve">우유 비율 </t>
    </r>
    <r>
      <rPr>
        <sz val="11"/>
        <rFont val="Pretendard"/>
        <family val="0"/>
        <charset val="1"/>
      </rPr>
      <t xml:space="preserve">(1 : ?)</t>
    </r>
  </si>
  <si>
    <r>
      <rPr>
        <sz val="11"/>
        <rFont val="WenQuanYi Zen Hei"/>
        <family val="2"/>
      </rPr>
      <t xml:space="preserve">하루 필요량</t>
    </r>
    <r>
      <rPr>
        <sz val="11"/>
        <rFont val="Pretendard"/>
        <family val="0"/>
        <charset val="1"/>
      </rPr>
      <t xml:space="preserve">(kg, </t>
    </r>
    <r>
      <rPr>
        <sz val="11"/>
        <rFont val="WenQuanYi Zen Hei"/>
        <family val="2"/>
      </rPr>
      <t xml:space="preserve">리필 포함</t>
    </r>
    <r>
      <rPr>
        <sz val="11"/>
        <rFont val="Pretendard"/>
        <family val="0"/>
        <charset val="1"/>
      </rPr>
      <t xml:space="preserve">)</t>
    </r>
  </si>
  <si>
    <t xml:space="preserve">하루 필요한 통 수</t>
  </si>
  <si>
    <t xml:space="preserve">하루 에스프레소 샷 수</t>
  </si>
  <si>
    <r>
      <rPr>
        <sz val="11"/>
        <color rgb="FF666666"/>
        <rFont val="WenQuanYi Zen Hei"/>
        <family val="2"/>
      </rPr>
      <t xml:space="preserve">※ 설탕량은 아직 정해지지 않아 넣지 않았어요</t>
    </r>
    <r>
      <rPr>
        <sz val="11"/>
        <color rgb="FF666666"/>
        <rFont val="Pretendard"/>
        <family val="0"/>
        <charset val="1"/>
      </rPr>
      <t xml:space="preserve">. </t>
    </r>
    <r>
      <rPr>
        <sz val="11"/>
        <color rgb="FF666666"/>
        <rFont val="WenQuanYi Zen Hei"/>
        <family val="2"/>
      </rPr>
      <t xml:space="preserve">정해지면 행을 추가할게요</t>
    </r>
    <r>
      <rPr>
        <sz val="11"/>
        <color rgb="FF666666"/>
        <rFont val="Pretendard"/>
        <family val="0"/>
        <charset val="1"/>
      </rPr>
      <t xml:space="preserve">.</t>
    </r>
  </si>
  <si>
    <r>
      <rPr>
        <sz val="11"/>
        <color rgb="FF666666"/>
        <rFont val="Pretendard"/>
        <family val="0"/>
        <charset val="1"/>
      </rPr>
      <t xml:space="preserve">※ 1</t>
    </r>
    <r>
      <rPr>
        <sz val="11"/>
        <color rgb="FF666666"/>
        <rFont val="WenQuanYi Zen Hei"/>
        <family val="2"/>
      </rPr>
      <t xml:space="preserve">잔 </t>
    </r>
    <r>
      <rPr>
        <sz val="11"/>
        <color rgb="FF666666"/>
        <rFont val="Pretendard"/>
        <family val="0"/>
        <charset val="1"/>
      </rPr>
      <t xml:space="preserve">30g</t>
    </r>
    <r>
      <rPr>
        <sz val="11"/>
        <color rgb="FF666666"/>
        <rFont val="WenQuanYi Zen Hei"/>
        <family val="2"/>
      </rPr>
      <t xml:space="preserve">은 무게 기준 추정이에요</t>
    </r>
    <r>
      <rPr>
        <sz val="11"/>
        <color rgb="FF666666"/>
        <rFont val="Pretendard"/>
        <family val="0"/>
        <charset val="1"/>
      </rPr>
      <t xml:space="preserve">(</t>
    </r>
    <r>
      <rPr>
        <sz val="11"/>
        <color rgb="FF666666"/>
        <rFont val="WenQuanYi Zen Hei"/>
        <family val="2"/>
      </rPr>
      <t xml:space="preserve">라떼는 </t>
    </r>
    <r>
      <rPr>
        <sz val="11"/>
        <color rgb="FF666666"/>
        <rFont val="Pretendard"/>
        <family val="0"/>
        <charset val="1"/>
      </rPr>
      <t xml:space="preserve">ml</t>
    </r>
    <r>
      <rPr>
        <sz val="11"/>
        <color rgb="FF666666"/>
        <rFont val="WenQuanYi Zen Hei"/>
        <family val="2"/>
      </rPr>
      <t xml:space="preserve">와 </t>
    </r>
    <r>
      <rPr>
        <sz val="11"/>
        <color rgb="FF666666"/>
        <rFont val="Pretendard"/>
        <family val="0"/>
        <charset val="1"/>
      </rPr>
      <t xml:space="preserve">g</t>
    </r>
    <r>
      <rPr>
        <sz val="11"/>
        <color rgb="FF666666"/>
        <rFont val="WenQuanYi Zen Hei"/>
        <family val="2"/>
      </rPr>
      <t xml:space="preserve">가 거의 같아요</t>
    </r>
    <r>
      <rPr>
        <sz val="11"/>
        <color rgb="FF666666"/>
        <rFont val="Pretendard"/>
        <family val="0"/>
        <charset val="1"/>
      </rPr>
      <t xml:space="preserve">).</t>
    </r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</si>
</sst>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\원"/>
    <numFmt numFmtId="166" formatCode="#,##0&quot;세트&quot;"/>
    <numFmt numFmtId="167" formatCode="0"/>
    <numFmt numFmtId="168" formatCode="0.0%"/>
    <numFmt numFmtId="169" formatCode="0%"/>
    <numFmt numFmtId="170" formatCode="0.0"/>
    <numFmt numFmtId="171" formatCode="#,##0"/>
    <numFmt numFmtId="172" formatCode="#,##0\개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Pretendard"/>
      <family val="0"/>
      <charset val="1"/>
    </font>
    <font>
      <sz val="11"/>
      <color rgb="FF666666"/>
      <name val="WenQuanYi Zen Hei"/>
      <family val="2"/>
    </font>
    <font>
      <sz val="11"/>
      <color rgb="FF666666"/>
      <name val="Pretendard"/>
      <family val="0"/>
      <charset val="1"/>
    </font>
    <font>
      <b val="true"/>
      <sz val="11"/>
      <name val="WenQuanYi Zen Hei"/>
      <family val="2"/>
    </font>
    <font>
      <b val="true"/>
      <sz val="11"/>
      <name val="Pretendard"/>
      <family val="0"/>
      <charset val="1"/>
    </font>
    <font>
      <sz val="11"/>
      <name val="WenQuanYi Zen Hei"/>
      <family val="2"/>
    </font>
    <font>
      <sz val="11"/>
      <color rgb="FF0000FF"/>
      <name val="Pretendard"/>
      <family val="0"/>
      <charset val="1"/>
    </font>
    <font>
      <sz val="11"/>
      <name val="Pretendard"/>
      <family val="0"/>
      <charset val="1"/>
    </font>
    <font>
      <sz val="11"/>
      <color rgb="FFC00000"/>
      <name val="WenQuanYi Zen Hei"/>
      <family val="2"/>
    </font>
    <font>
      <sz val="11"/>
      <color rgb="FFC00000"/>
      <name val="Pretendard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4"/>
    <col collapsed="false" customWidth="true" hidden="false" outlineLevel="0" max="4" min="4" style="0" width="12"/>
    <col collapsed="false" customWidth="true" hidden="false" outlineLevel="0" max="5" min="5" style="0" width="18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15" hidden="false" customHeight="false" outlineLevel="0" collapsed="false">
      <c r="A5" s="4" t="s">
        <v>7</v>
      </c>
      <c r="B5" s="5" t="n">
        <v>1253</v>
      </c>
      <c r="C5" s="5" t="n">
        <v>209</v>
      </c>
      <c r="D5" s="5" t="n">
        <v>11</v>
      </c>
      <c r="E5" s="6" t="n">
        <f aca="false">SUM(B5:D5)</f>
        <v>1473</v>
      </c>
    </row>
    <row r="6" customFormat="false" ht="15" hidden="false" customHeight="false" outlineLevel="0" collapsed="false">
      <c r="A6" s="4" t="s">
        <v>8</v>
      </c>
      <c r="B6" s="5" t="n">
        <v>313</v>
      </c>
      <c r="C6" s="5" t="n">
        <v>209</v>
      </c>
      <c r="D6" s="5" t="n">
        <v>11</v>
      </c>
      <c r="E6" s="6" t="n">
        <f aca="false">SUM(B6:D6)</f>
        <v>533</v>
      </c>
    </row>
    <row r="7" customFormat="false" ht="15" hidden="false" customHeight="false" outlineLevel="0" collapsed="false">
      <c r="A7" s="4" t="s">
        <v>9</v>
      </c>
      <c r="B7" s="5" t="n">
        <v>559</v>
      </c>
      <c r="C7" s="5" t="n">
        <v>209</v>
      </c>
      <c r="D7" s="5" t="n">
        <v>11</v>
      </c>
      <c r="E7" s="6" t="n">
        <f aca="false">SUM(B7:D7)</f>
        <v>779</v>
      </c>
    </row>
    <row r="8" customFormat="false" ht="15" hidden="false" customHeight="false" outlineLevel="0" collapsed="false">
      <c r="A8" s="4" t="s">
        <v>10</v>
      </c>
      <c r="B8" s="5" t="n">
        <v>304</v>
      </c>
      <c r="C8" s="5" t="n">
        <v>209</v>
      </c>
      <c r="D8" s="5" t="n">
        <v>11</v>
      </c>
      <c r="E8" s="6" t="n">
        <f aca="false">SUM(B8:D8)</f>
        <v>524</v>
      </c>
    </row>
    <row r="9" customFormat="false" ht="15" hidden="false" customHeight="false" outlineLevel="0" collapsed="false">
      <c r="A9" s="7" t="s">
        <v>11</v>
      </c>
      <c r="B9" s="8" t="n">
        <f aca="false">SUM(B5:B8)</f>
        <v>2429</v>
      </c>
      <c r="C9" s="8" t="n">
        <f aca="false">SUM(C5:C8)</f>
        <v>836</v>
      </c>
      <c r="D9" s="8" t="n">
        <f aca="false">SUM(D5:D8)</f>
        <v>44</v>
      </c>
      <c r="E9" s="8" t="n">
        <f aca="false">SUM(E5:E8)</f>
        <v>3309</v>
      </c>
    </row>
    <row r="11" customFormat="false" ht="15" hidden="false" customHeight="false" outlineLevel="0" collapsed="false">
      <c r="A11" s="7" t="s">
        <v>12</v>
      </c>
    </row>
    <row r="12" customFormat="false" ht="15" hidden="false" customHeight="false" outlineLevel="0" collapsed="false">
      <c r="A12" s="4" t="s">
        <v>13</v>
      </c>
      <c r="B12" s="5" t="n">
        <v>0</v>
      </c>
      <c r="C12" s="2" t="s">
        <v>14</v>
      </c>
    </row>
    <row r="13" customFormat="false" ht="15" hidden="false" customHeight="false" outlineLevel="0" collapsed="false">
      <c r="A13" s="4" t="s">
        <v>15</v>
      </c>
      <c r="B13" s="5" t="n">
        <v>12000</v>
      </c>
      <c r="C13" s="2" t="s">
        <v>16</v>
      </c>
    </row>
    <row r="14" customFormat="false" ht="15" hidden="false" customHeight="false" outlineLevel="0" collapsed="false">
      <c r="A14" s="4" t="s">
        <v>17</v>
      </c>
      <c r="B14" s="5" t="n">
        <v>10000</v>
      </c>
      <c r="C14" s="2" t="s">
        <v>18</v>
      </c>
    </row>
    <row r="15" customFormat="false" ht="15" hidden="false" customHeight="false" outlineLevel="0" collapsed="false">
      <c r="A15" s="4" t="s">
        <v>19</v>
      </c>
      <c r="B15" s="9" t="n">
        <v>500</v>
      </c>
      <c r="C15" s="2" t="s">
        <v>20</v>
      </c>
    </row>
    <row r="16" customFormat="false" ht="15" hidden="false" customHeight="false" outlineLevel="0" collapsed="false">
      <c r="A16" s="4" t="s">
        <v>21</v>
      </c>
      <c r="B16" s="10" t="n">
        <v>1</v>
      </c>
      <c r="C16" s="2" t="s">
        <v>22</v>
      </c>
    </row>
    <row r="17" customFormat="false" ht="15" hidden="false" customHeight="false" outlineLevel="0" collapsed="false">
      <c r="A17" s="11" t="s">
        <v>23</v>
      </c>
    </row>
    <row r="18" customFormat="false" ht="15" hidden="false" customHeight="false" outlineLevel="0" collapsed="false">
      <c r="A18" s="12" t="s">
        <v>24</v>
      </c>
      <c r="B18" s="13" t="n">
        <f aca="false">E9+B12</f>
        <v>3309</v>
      </c>
    </row>
    <row r="19" customFormat="false" ht="15" hidden="false" customHeight="false" outlineLevel="0" collapsed="false">
      <c r="A19" s="4" t="s">
        <v>25</v>
      </c>
      <c r="B19" s="14" t="n">
        <f aca="false">1-B14/B13</f>
        <v>0.166666666666667</v>
      </c>
    </row>
    <row r="20" customFormat="false" ht="15" hidden="false" customHeight="false" outlineLevel="0" collapsed="false">
      <c r="A20" s="4" t="s">
        <v>26</v>
      </c>
      <c r="B20" s="6" t="n">
        <f aca="false">IF(B16=1,ROUND(B14/1.1,0),B14)</f>
        <v>9091</v>
      </c>
    </row>
    <row r="21" customFormat="false" ht="15" hidden="false" customHeight="false" outlineLevel="0" collapsed="false">
      <c r="A21" s="4" t="s">
        <v>27</v>
      </c>
      <c r="B21" s="6" t="n">
        <f aca="false">B14-B20</f>
        <v>909</v>
      </c>
    </row>
    <row r="22" customFormat="false" ht="15" hidden="false" customHeight="false" outlineLevel="0" collapsed="false">
      <c r="A22" s="12" t="s">
        <v>28</v>
      </c>
      <c r="B22" s="13" t="n">
        <f aca="false">B20-B18</f>
        <v>5782</v>
      </c>
    </row>
    <row r="23" customFormat="false" ht="15" hidden="false" customHeight="false" outlineLevel="0" collapsed="false">
      <c r="A23" s="12" t="s">
        <v>29</v>
      </c>
      <c r="B23" s="14" t="n">
        <f aca="false">IF(B20=0,0,B22/B20)</f>
        <v>0.636013639863601</v>
      </c>
    </row>
    <row r="25" customFormat="false" ht="15" hidden="false" customHeight="false" outlineLevel="0" collapsed="false">
      <c r="A25" s="7" t="s">
        <v>30</v>
      </c>
    </row>
    <row r="26" customFormat="false" ht="15" hidden="false" customHeight="false" outlineLevel="0" collapsed="false">
      <c r="A26" s="4" t="s">
        <v>31</v>
      </c>
      <c r="B26" s="6" t="n">
        <f aca="false">B14*B15</f>
        <v>5000000</v>
      </c>
    </row>
    <row r="27" customFormat="false" ht="15" hidden="false" customHeight="false" outlineLevel="0" collapsed="false">
      <c r="A27" s="4" t="s">
        <v>32</v>
      </c>
      <c r="B27" s="6" t="n">
        <f aca="false">B21*B15</f>
        <v>454500</v>
      </c>
    </row>
    <row r="28" customFormat="false" ht="15" hidden="false" customHeight="false" outlineLevel="0" collapsed="false">
      <c r="A28" s="4" t="s">
        <v>33</v>
      </c>
      <c r="B28" s="6" t="n">
        <f aca="false">B18*B15</f>
        <v>1654500</v>
      </c>
    </row>
    <row r="29" customFormat="false" ht="15" hidden="false" customHeight="false" outlineLevel="0" collapsed="false">
      <c r="A29" s="4" t="s">
        <v>34</v>
      </c>
      <c r="B29" s="13" t="n">
        <f aca="false">B22*B15</f>
        <v>2891000</v>
      </c>
    </row>
    <row r="31" customFormat="false" ht="15" hidden="false" customHeight="false" outlineLevel="0" collapsed="false">
      <c r="A31" s="15" t="s">
        <v>35</v>
      </c>
    </row>
    <row r="32" customFormat="false" ht="15" hidden="false" customHeight="false" outlineLevel="0" collapsed="false">
      <c r="A32" s="2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6"/>
  </cols>
  <sheetData>
    <row r="1" customFormat="false" ht="19.4" hidden="false" customHeight="false" outlineLevel="0" collapsed="false">
      <c r="A1" s="1" t="s">
        <v>37</v>
      </c>
    </row>
    <row r="3" customFormat="false" ht="15" hidden="false" customHeight="false" outlineLevel="0" collapsed="false">
      <c r="A3" s="4" t="s">
        <v>38</v>
      </c>
      <c r="B3" s="16" t="n">
        <v>0.15</v>
      </c>
      <c r="C3" s="2" t="s">
        <v>39</v>
      </c>
    </row>
    <row r="4" customFormat="false" ht="15" hidden="false" customHeight="false" outlineLevel="0" collapsed="false">
      <c r="A4" s="4" t="s">
        <v>40</v>
      </c>
      <c r="B4" s="17" t="n">
        <v>20</v>
      </c>
    </row>
    <row r="6" customFormat="false" ht="15" hidden="false" customHeight="false" outlineLevel="0" collapsed="false">
      <c r="A6" s="3" t="s">
        <v>41</v>
      </c>
      <c r="B6" s="3" t="s">
        <v>42</v>
      </c>
      <c r="C6" s="3" t="s">
        <v>43</v>
      </c>
      <c r="D6" s="3" t="s">
        <v>44</v>
      </c>
    </row>
    <row r="7" customFormat="false" ht="15" hidden="false" customHeight="false" outlineLevel="0" collapsed="false">
      <c r="A7" s="4" t="s">
        <v>7</v>
      </c>
      <c r="B7" s="18" t="n">
        <f aca="false">'드립백 패키지'!$B$15</f>
        <v>500</v>
      </c>
      <c r="C7" s="19" t="n">
        <f aca="false">B7*$B$4/1000</f>
        <v>10</v>
      </c>
      <c r="D7" s="19" t="n">
        <f aca="false">C7/(1-$B$3)</f>
        <v>11.7647058823529</v>
      </c>
    </row>
    <row r="8" customFormat="false" ht="15" hidden="false" customHeight="false" outlineLevel="0" collapsed="false">
      <c r="A8" s="4" t="s">
        <v>8</v>
      </c>
      <c r="B8" s="18" t="n">
        <f aca="false">'드립백 패키지'!$B$15</f>
        <v>500</v>
      </c>
      <c r="C8" s="19" t="n">
        <f aca="false">B8*$B$4/1000</f>
        <v>10</v>
      </c>
      <c r="D8" s="19" t="n">
        <f aca="false">C8/(1-$B$3)</f>
        <v>11.7647058823529</v>
      </c>
    </row>
    <row r="9" customFormat="false" ht="15" hidden="false" customHeight="false" outlineLevel="0" collapsed="false">
      <c r="A9" s="4" t="s">
        <v>9</v>
      </c>
      <c r="B9" s="18" t="n">
        <f aca="false">'드립백 패키지'!$B$15</f>
        <v>500</v>
      </c>
      <c r="C9" s="19" t="n">
        <f aca="false">B9*$B$4/1000</f>
        <v>10</v>
      </c>
      <c r="D9" s="19" t="n">
        <f aca="false">C9/(1-$B$3)</f>
        <v>11.7647058823529</v>
      </c>
    </row>
    <row r="10" customFormat="false" ht="15" hidden="false" customHeight="false" outlineLevel="0" collapsed="false">
      <c r="A10" s="4" t="s">
        <v>10</v>
      </c>
      <c r="B10" s="18" t="n">
        <f aca="false">'드립백 패키지'!$B$15</f>
        <v>500</v>
      </c>
      <c r="C10" s="19" t="n">
        <f aca="false">B10*$B$4/1000</f>
        <v>10</v>
      </c>
      <c r="D10" s="19" t="n">
        <f aca="false">C10/(1-$B$3)</f>
        <v>11.7647058823529</v>
      </c>
    </row>
    <row r="11" customFormat="false" ht="15" hidden="false" customHeight="false" outlineLevel="0" collapsed="false">
      <c r="A11" s="7" t="s">
        <v>45</v>
      </c>
      <c r="B11" s="20" t="n">
        <f aca="false">SUM(B7:B10)</f>
        <v>2000</v>
      </c>
      <c r="C11" s="21" t="n">
        <f aca="false">SUM(C7:C10)</f>
        <v>40</v>
      </c>
      <c r="D11" s="21" t="n">
        <f aca="false">SUM(D7:D10)</f>
        <v>47.0588235294118</v>
      </c>
    </row>
    <row r="13" customFormat="false" ht="15" hidden="false" customHeight="false" outlineLevel="0" collapsed="false">
      <c r="A13" s="2" t="s">
        <v>46</v>
      </c>
    </row>
    <row r="14" customFormat="false" ht="15" hidden="false" customHeight="false" outlineLevel="0" collapsed="false">
      <c r="A14" s="4" t="s">
        <v>47</v>
      </c>
      <c r="B14" s="22" t="n">
        <f aca="false">B11</f>
        <v>2000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40"/>
  </cols>
  <sheetData>
    <row r="1" customFormat="false" ht="17.35" hidden="false" customHeight="false" outlineLevel="0" collapsed="false">
      <c r="A1" s="1" t="s">
        <v>48</v>
      </c>
    </row>
    <row r="3" customFormat="false" ht="15" hidden="false" customHeight="false" outlineLevel="0" collapsed="false">
      <c r="A3" s="4" t="s">
        <v>49</v>
      </c>
      <c r="B3" s="17" t="n">
        <v>41</v>
      </c>
      <c r="C3" s="2" t="s">
        <v>50</v>
      </c>
    </row>
    <row r="4" customFormat="false" ht="15" hidden="false" customHeight="false" outlineLevel="0" collapsed="false">
      <c r="A4" s="4" t="s">
        <v>51</v>
      </c>
      <c r="B4" s="17" t="n">
        <v>280</v>
      </c>
      <c r="C4" s="2" t="s">
        <v>20</v>
      </c>
    </row>
    <row r="5" customFormat="false" ht="15" hidden="false" customHeight="false" outlineLevel="0" collapsed="false">
      <c r="A5" s="4" t="s">
        <v>52</v>
      </c>
      <c r="B5" s="17" t="n">
        <v>20</v>
      </c>
      <c r="C5" s="2" t="s">
        <v>20</v>
      </c>
    </row>
    <row r="6" customFormat="false" ht="15" hidden="false" customHeight="false" outlineLevel="0" collapsed="false">
      <c r="A6" s="4" t="s">
        <v>53</v>
      </c>
      <c r="B6" s="17" t="n">
        <v>240</v>
      </c>
      <c r="C6" s="2" t="s">
        <v>54</v>
      </c>
    </row>
    <row r="7" customFormat="false" ht="15" hidden="false" customHeight="false" outlineLevel="0" collapsed="false">
      <c r="A7" s="4" t="s">
        <v>55</v>
      </c>
      <c r="B7" s="16" t="n">
        <v>0.3</v>
      </c>
      <c r="C7" s="2" t="s">
        <v>56</v>
      </c>
    </row>
    <row r="8" customFormat="false" ht="15" hidden="false" customHeight="false" outlineLevel="0" collapsed="false">
      <c r="A8" s="12" t="s">
        <v>57</v>
      </c>
      <c r="B8" s="17" t="n">
        <v>30</v>
      </c>
      <c r="C8" s="2" t="s">
        <v>56</v>
      </c>
    </row>
    <row r="10" customFormat="false" ht="15" hidden="false" customHeight="false" outlineLevel="0" collapsed="false">
      <c r="A10" s="4" t="s">
        <v>58</v>
      </c>
      <c r="B10" s="23" t="n">
        <f aca="false">(B3+B4)*B5/1000</f>
        <v>6.42</v>
      </c>
    </row>
    <row r="11" customFormat="false" ht="15" hidden="false" customHeight="false" outlineLevel="0" collapsed="false">
      <c r="A11" s="4" t="s">
        <v>59</v>
      </c>
      <c r="B11" s="23" t="n">
        <f aca="false">B4/B3</f>
        <v>6.82926829268293</v>
      </c>
    </row>
    <row r="12" customFormat="false" ht="15" hidden="false" customHeight="false" outlineLevel="0" collapsed="false">
      <c r="A12" s="4" t="s">
        <v>60</v>
      </c>
      <c r="B12" s="23" t="n">
        <f aca="false">B6*(1+B7)*B8/1000</f>
        <v>9.36</v>
      </c>
    </row>
    <row r="13" customFormat="false" ht="15" hidden="false" customHeight="false" outlineLevel="0" collapsed="false">
      <c r="A13" s="4" t="s">
        <v>61</v>
      </c>
      <c r="B13" s="23" t="n">
        <f aca="false">B12/B10</f>
        <v>1.45794392523364</v>
      </c>
    </row>
    <row r="14" customFormat="false" ht="15" hidden="false" customHeight="false" outlineLevel="0" collapsed="false">
      <c r="A14" s="4" t="s">
        <v>62</v>
      </c>
      <c r="B14" s="24" t="n">
        <f aca="false">ROUNDUP(B13,0)*B5</f>
        <v>40</v>
      </c>
    </row>
    <row r="16" customFormat="false" ht="15" hidden="false" customHeight="false" outlineLevel="0" collapsed="false">
      <c r="A16" s="2" t="s">
        <v>63</v>
      </c>
    </row>
    <row r="17" customFormat="false" ht="15" hidden="false" customHeight="false" outlineLevel="0" collapsed="false">
      <c r="A17" s="25" t="s">
        <v>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2026-10-06T08:51:47Z</dcterms:created>
  <dc:creator>openpyxl</dc:creator>
  <dc:description/>
  <dc:language>en-US</dc:language>
  <cp:lastModifiedBy/>
  <dcterms:modified xsi:type="dcterms:W3CDTF">2026-10-06T08:51:47Z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