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력 계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<sst xmlns="http://schemas.openxmlformats.org/spreadsheetml/2006/main" count="68" uniqueCount="33">
  <si>
    <r>
      <rPr>
        <b val="true"/>
        <sz val="14"/>
        <rFont val="WenQuanYi Zen Hei"/>
        <family val="2"/>
      </rPr>
      <t xml:space="preserve">카페쇼 장비 전력 계산 </t>
    </r>
    <r>
      <rPr>
        <b val="true"/>
        <sz val="14"/>
        <rFont val="Pretendard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사용 가능 </t>
    </r>
    <r>
      <rPr>
        <b val="true"/>
        <sz val="14"/>
        <rFont val="Pretendard"/>
        <family val="0"/>
        <charset val="1"/>
      </rPr>
      <t xml:space="preserve">5kW </t>
    </r>
    <r>
      <rPr>
        <b val="true"/>
        <sz val="14"/>
        <rFont val="WenQuanYi Zen Hei"/>
        <family val="2"/>
      </rPr>
      <t xml:space="preserve">기준</t>
    </r>
    <r>
      <rPr>
        <b val="true"/>
        <sz val="14"/>
        <rFont val="Pretendard"/>
        <family val="0"/>
        <charset val="1"/>
      </rPr>
      <t xml:space="preserve">, 2026-10-07)</t>
    </r>
  </si>
  <si>
    <r>
      <rPr>
        <sz val="11"/>
        <color rgb="FF666666"/>
        <rFont val="WenQuanYi Zen Hei"/>
        <family val="2"/>
      </rPr>
      <t xml:space="preserve">노란 칸</t>
    </r>
    <r>
      <rPr>
        <sz val="11"/>
        <color rgb="FF666666"/>
        <rFont val="Pretendard"/>
        <family val="0"/>
        <charset val="1"/>
      </rPr>
      <t xml:space="preserve">(</t>
    </r>
    <r>
      <rPr>
        <sz val="11"/>
        <color rgb="FF666666"/>
        <rFont val="WenQuanYi Zen Hei"/>
        <family val="2"/>
      </rPr>
      <t xml:space="preserve">파란 글씨</t>
    </r>
    <r>
      <rPr>
        <sz val="11"/>
        <color rgb="FF666666"/>
        <rFont val="Pretendard"/>
        <family val="0"/>
        <charset val="1"/>
      </rPr>
      <t xml:space="preserve">)</t>
    </r>
    <r>
      <rPr>
        <sz val="11"/>
        <color rgb="FF666666"/>
        <rFont val="WenQuanYi Zen Hei"/>
        <family val="2"/>
      </rPr>
      <t xml:space="preserve">만 바꾸세요</t>
    </r>
    <r>
      <rPr>
        <sz val="11"/>
        <color rgb="FF666666"/>
        <rFont val="Pretendard"/>
        <family val="0"/>
        <charset val="1"/>
      </rPr>
      <t xml:space="preserve">. </t>
    </r>
    <r>
      <rPr>
        <sz val="11"/>
        <color rgb="FF666666"/>
        <rFont val="WenQuanYi Zen Hei"/>
        <family val="2"/>
      </rPr>
      <t xml:space="preserve">소비전력은 대여할 모델의 명판</t>
    </r>
    <r>
      <rPr>
        <sz val="11"/>
        <color rgb="FF666666"/>
        <rFont val="Pretendard"/>
        <family val="0"/>
        <charset val="1"/>
      </rPr>
      <t xml:space="preserve">(</t>
    </r>
    <r>
      <rPr>
        <sz val="11"/>
        <color rgb="FF666666"/>
        <rFont val="WenQuanYi Zen Hei"/>
        <family val="2"/>
      </rPr>
      <t xml:space="preserve">뒷면 스티커</t>
    </r>
    <r>
      <rPr>
        <sz val="11"/>
        <color rgb="FF666666"/>
        <rFont val="Pretendard"/>
        <family val="0"/>
        <charset val="1"/>
      </rPr>
      <t xml:space="preserve">) </t>
    </r>
    <r>
      <rPr>
        <sz val="11"/>
        <color rgb="FF666666"/>
        <rFont val="WenQuanYi Zen Hei"/>
        <family val="2"/>
      </rPr>
      <t xml:space="preserve">값으로 바꿔야 정확해요</t>
    </r>
    <r>
      <rPr>
        <sz val="11"/>
        <color rgb="FF666666"/>
        <rFont val="Pretendard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</si>
  <si>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사용 가능 전력</t>
    </r>
    <r>
      <rPr>
        <b val="true"/>
        <sz val="11"/>
        <rFont val="Pretendard"/>
        <family val="0"/>
        <charset val="1"/>
      </rPr>
      <t xml:space="preserve">(W)</t>
    </r>
  </si>
  <si>
    <r>
      <rPr>
        <sz val="11"/>
        <color rgb="FF666666"/>
        <rFont val="WenQuanYi Zen Hei"/>
        <family val="2"/>
      </rPr>
      <t xml:space="preserve">대표님 </t>
    </r>
    <r>
      <rPr>
        <sz val="11"/>
        <color rgb="FF666666"/>
        <rFont val="Pretendard"/>
        <family val="0"/>
        <charset val="1"/>
      </rPr>
      <t xml:space="preserve">10/7: </t>
    </r>
    <r>
      <rPr>
        <sz val="11"/>
        <color rgb="FF666666"/>
        <rFont val="WenQuanYi Zen Hei"/>
        <family val="2"/>
      </rPr>
      <t xml:space="preserve">증설해서 </t>
    </r>
    <r>
      <rPr>
        <sz val="11"/>
        <color rgb="FF666666"/>
        <rFont val="Pretendard"/>
        <family val="0"/>
        <charset val="1"/>
      </rPr>
      <t xml:space="preserve">5kW</t>
    </r>
  </si>
  <si>
    <r>
      <rPr>
        <b val="true"/>
        <sz val="12"/>
        <rFont val="Pretendard"/>
        <family val="0"/>
        <charset val="1"/>
      </rPr>
      <t xml:space="preserve">A</t>
    </r>
    <r>
      <rPr>
        <b val="true"/>
        <sz val="12"/>
        <rFont val="WenQuanYi Zen Hei"/>
        <family val="2"/>
      </rPr>
      <t xml:space="preserve">안</t>
    </r>
    <r>
      <rPr>
        <b val="true"/>
        <sz val="12"/>
        <rFont val="Pretendard"/>
        <family val="0"/>
        <charset val="1"/>
      </rPr>
      <t xml:space="preserve">: </t>
    </r>
    <r>
      <rPr>
        <b val="true"/>
        <sz val="12"/>
        <rFont val="WenQuanYi Zen Hei"/>
        <family val="2"/>
      </rPr>
      <t xml:space="preserve">에스프레소 머신 </t>
    </r>
    <r>
      <rPr>
        <b val="true"/>
        <sz val="12"/>
        <rFont val="Pretendard"/>
        <family val="0"/>
        <charset val="1"/>
      </rPr>
      <t xml:space="preserve">2</t>
    </r>
    <r>
      <rPr>
        <b val="true"/>
        <sz val="12"/>
        <rFont val="WenQuanYi Zen Hei"/>
        <family val="2"/>
      </rPr>
      <t xml:space="preserve">구 </t>
    </r>
    <r>
      <rPr>
        <b val="true"/>
        <sz val="12"/>
        <rFont val="Pretendard"/>
        <family val="0"/>
        <charset val="1"/>
      </rPr>
      <t xml:space="preserve">+ </t>
    </r>
    <r>
      <rPr>
        <b val="true"/>
        <sz val="12"/>
        <rFont val="WenQuanYi Zen Hei"/>
        <family val="2"/>
      </rPr>
      <t xml:space="preserve">그라인더 </t>
    </r>
    <r>
      <rPr>
        <b val="true"/>
        <sz val="12"/>
        <rFont val="Pretendard"/>
        <family val="0"/>
        <charset val="1"/>
      </rPr>
      <t xml:space="preserve">4</t>
    </r>
    <r>
      <rPr>
        <b val="true"/>
        <sz val="12"/>
        <rFont val="WenQuanYi Zen Hei"/>
        <family val="2"/>
      </rPr>
      <t xml:space="preserve">대</t>
    </r>
  </si>
  <si>
    <t xml:space="preserve">장비</t>
  </si>
  <si>
    <t xml:space="preserve">대수</t>
  </si>
  <si>
    <r>
      <rPr>
        <b val="true"/>
        <sz val="11"/>
        <rFont val="Pretendard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대 소비전력</t>
    </r>
    <r>
      <rPr>
        <b val="true"/>
        <sz val="11"/>
        <rFont val="Pretendard"/>
        <family val="0"/>
        <charset val="1"/>
      </rPr>
      <t xml:space="preserve">(W)</t>
    </r>
  </si>
  <si>
    <t xml:space="preserve">동시에 켜지는 비율</t>
  </si>
  <si>
    <r>
      <rPr>
        <b val="true"/>
        <sz val="11"/>
        <rFont val="WenQuanYi Zen Hei"/>
        <family val="2"/>
      </rPr>
      <t xml:space="preserve">최대 전력</t>
    </r>
    <r>
      <rPr>
        <b val="true"/>
        <sz val="11"/>
        <rFont val="Pretendard"/>
        <family val="0"/>
        <charset val="1"/>
      </rPr>
      <t xml:space="preserve">(W)</t>
    </r>
  </si>
  <si>
    <r>
      <rPr>
        <b val="true"/>
        <sz val="11"/>
        <rFont val="WenQuanYi Zen Hei"/>
        <family val="2"/>
      </rPr>
      <t xml:space="preserve">동시 사용 추정</t>
    </r>
    <r>
      <rPr>
        <b val="true"/>
        <sz val="11"/>
        <rFont val="Pretendard"/>
        <family val="0"/>
        <charset val="1"/>
      </rPr>
      <t xml:space="preserve">(W)</t>
    </r>
  </si>
  <si>
    <t xml:space="preserve">근거</t>
  </si>
  <si>
    <r>
      <rPr>
        <sz val="11"/>
        <rFont val="WenQuanYi Zen Hei"/>
        <family val="2"/>
      </rPr>
      <t xml:space="preserve">에스프레소 머신 </t>
    </r>
    <r>
      <rPr>
        <sz val="11"/>
        <rFont val="Pretendard"/>
        <family val="0"/>
        <charset val="1"/>
      </rPr>
      <t xml:space="preserve">2</t>
    </r>
    <r>
      <rPr>
        <sz val="11"/>
        <rFont val="WenQuanYi Zen Hei"/>
        <family val="2"/>
      </rPr>
      <t xml:space="preserve">구</t>
    </r>
  </si>
  <si>
    <r>
      <rPr>
        <sz val="11"/>
        <color rgb="FF666666"/>
        <rFont val="WenQuanYi Zen Hei"/>
        <family val="2"/>
      </rPr>
      <t xml:space="preserve">추정</t>
    </r>
    <r>
      <rPr>
        <sz val="11"/>
        <color rgb="FF666666"/>
        <rFont val="Pretendard"/>
        <family val="0"/>
        <charset val="1"/>
      </rPr>
      <t xml:space="preserve">: </t>
    </r>
    <r>
      <rPr>
        <sz val="11"/>
        <color rgb="FF666666"/>
        <rFont val="WenQuanYi Zen Hei"/>
        <family val="2"/>
      </rPr>
      <t xml:space="preserve">일반적인 업소용 범위</t>
    </r>
    <r>
      <rPr>
        <sz val="11"/>
        <color rgb="FF666666"/>
        <rFont val="Pretendard"/>
        <family val="0"/>
        <charset val="1"/>
      </rPr>
      <t xml:space="preserve">. </t>
    </r>
    <r>
      <rPr>
        <sz val="11"/>
        <color rgb="FF666666"/>
        <rFont val="WenQuanYi Zen Hei"/>
        <family val="2"/>
      </rPr>
      <t xml:space="preserve">명판 값으로 바꾸기 </t>
    </r>
    <r>
      <rPr>
        <sz val="11"/>
        <color rgb="FF666666"/>
        <rFont val="Pretendard"/>
        <family val="0"/>
        <charset val="1"/>
      </rPr>
      <t xml:space="preserve">(</t>
    </r>
    <r>
      <rPr>
        <sz val="11"/>
        <color rgb="FF666666"/>
        <rFont val="WenQuanYi Zen Hei"/>
        <family val="2"/>
      </rPr>
      <t xml:space="preserve">보일러 가열 중 최대</t>
    </r>
    <r>
      <rPr>
        <sz val="11"/>
        <color rgb="FF666666"/>
        <rFont val="Pretendard"/>
        <family val="0"/>
        <charset val="1"/>
      </rPr>
      <t xml:space="preserve">)</t>
    </r>
  </si>
  <si>
    <t xml:space="preserve">그라인더</t>
  </si>
  <si>
    <r>
      <rPr>
        <sz val="11"/>
        <color rgb="FF666666"/>
        <rFont val="WenQuanYi Zen Hei"/>
        <family val="2"/>
      </rPr>
      <t xml:space="preserve">추정</t>
    </r>
    <r>
      <rPr>
        <sz val="11"/>
        <color rgb="FF666666"/>
        <rFont val="Pretendard"/>
        <family val="0"/>
        <charset val="1"/>
      </rPr>
      <t xml:space="preserve">: </t>
    </r>
    <r>
      <rPr>
        <sz val="11"/>
        <color rgb="FF666666"/>
        <rFont val="WenQuanYi Zen Hei"/>
        <family val="2"/>
      </rPr>
      <t xml:space="preserve">일반적인 업소용 범위</t>
    </r>
    <r>
      <rPr>
        <sz val="11"/>
        <color rgb="FF666666"/>
        <rFont val="Pretendard"/>
        <family val="0"/>
        <charset val="1"/>
      </rPr>
      <t xml:space="preserve">. </t>
    </r>
    <r>
      <rPr>
        <sz val="11"/>
        <color rgb="FF666666"/>
        <rFont val="WenQuanYi Zen Hei"/>
        <family val="2"/>
      </rPr>
      <t xml:space="preserve">명판 값으로 바꾸기 </t>
    </r>
    <r>
      <rPr>
        <sz val="11"/>
        <color rgb="FF666666"/>
        <rFont val="Pretendard"/>
        <family val="0"/>
        <charset val="1"/>
      </rPr>
      <t xml:space="preserve">/ </t>
    </r>
    <r>
      <rPr>
        <sz val="11"/>
        <color rgb="FF666666"/>
        <rFont val="WenQuanYi Zen Hei"/>
        <family val="2"/>
      </rPr>
      <t xml:space="preserve">동시에 </t>
    </r>
    <r>
      <rPr>
        <sz val="11"/>
        <color rgb="FF666666"/>
        <rFont val="Pretendard"/>
        <family val="0"/>
        <charset val="1"/>
      </rPr>
      <t xml:space="preserve">1</t>
    </r>
    <r>
      <rPr>
        <sz val="11"/>
        <color rgb="FF666666"/>
        <rFont val="WenQuanYi Zen Hei"/>
        <family val="2"/>
      </rPr>
      <t xml:space="preserve">대 도는 정도로 가정</t>
    </r>
  </si>
  <si>
    <t xml:space="preserve">테이블 냉장고</t>
  </si>
  <si>
    <r>
      <rPr>
        <sz val="11"/>
        <color rgb="FF666666"/>
        <rFont val="WenQuanYi Zen Hei"/>
        <family val="2"/>
      </rPr>
      <t xml:space="preserve">추정</t>
    </r>
    <r>
      <rPr>
        <sz val="11"/>
        <color rgb="FF666666"/>
        <rFont val="Pretendard"/>
        <family val="0"/>
        <charset val="1"/>
      </rPr>
      <t xml:space="preserve">: </t>
    </r>
    <r>
      <rPr>
        <sz val="11"/>
        <color rgb="FF666666"/>
        <rFont val="WenQuanYi Zen Hei"/>
        <family val="2"/>
      </rPr>
      <t xml:space="preserve">일반적인 업소용 범위</t>
    </r>
    <r>
      <rPr>
        <sz val="11"/>
        <color rgb="FF666666"/>
        <rFont val="Pretendard"/>
        <family val="0"/>
        <charset val="1"/>
      </rPr>
      <t xml:space="preserve">. </t>
    </r>
    <r>
      <rPr>
        <sz val="11"/>
        <color rgb="FF666666"/>
        <rFont val="WenQuanYi Zen Hei"/>
        <family val="2"/>
      </rPr>
      <t xml:space="preserve">명판 값으로 바꾸기</t>
    </r>
  </si>
  <si>
    <r>
      <rPr>
        <sz val="11"/>
        <rFont val="WenQuanYi Zen Hei"/>
        <family val="2"/>
      </rPr>
      <t xml:space="preserve">온수기</t>
    </r>
    <r>
      <rPr>
        <sz val="11"/>
        <rFont val="Pretendard"/>
        <family val="0"/>
        <charset val="1"/>
      </rPr>
      <t xml:space="preserve">(</t>
    </r>
    <r>
      <rPr>
        <sz val="11"/>
        <rFont val="WenQuanYi Zen Hei"/>
        <family val="2"/>
      </rPr>
      <t xml:space="preserve">직수 겸용</t>
    </r>
    <r>
      <rPr>
        <sz val="11"/>
        <rFont val="Pretendard"/>
        <family val="0"/>
        <charset val="1"/>
      </rPr>
      <t xml:space="preserve">)</t>
    </r>
  </si>
  <si>
    <r>
      <rPr>
        <sz val="11"/>
        <color rgb="FF666666"/>
        <rFont val="WenQuanYi Zen Hei"/>
        <family val="2"/>
      </rPr>
      <t xml:space="preserve">추정</t>
    </r>
    <r>
      <rPr>
        <sz val="11"/>
        <color rgb="FF666666"/>
        <rFont val="Pretendard"/>
        <family val="0"/>
        <charset val="1"/>
      </rPr>
      <t xml:space="preserve">: </t>
    </r>
    <r>
      <rPr>
        <sz val="11"/>
        <color rgb="FF666666"/>
        <rFont val="WenQuanYi Zen Hei"/>
        <family val="2"/>
      </rPr>
      <t xml:space="preserve">일반적인 업소용 범위</t>
    </r>
    <r>
      <rPr>
        <sz val="11"/>
        <color rgb="FF666666"/>
        <rFont val="Pretendard"/>
        <family val="0"/>
        <charset val="1"/>
      </rPr>
      <t xml:space="preserve">. </t>
    </r>
    <r>
      <rPr>
        <sz val="11"/>
        <color rgb="FF666666"/>
        <rFont val="WenQuanYi Zen Hei"/>
        <family val="2"/>
      </rPr>
      <t xml:space="preserve">명판 값으로 바꾸기 </t>
    </r>
    <r>
      <rPr>
        <sz val="11"/>
        <color rgb="FF666666"/>
        <rFont val="Pretendard"/>
        <family val="0"/>
        <charset val="1"/>
      </rPr>
      <t xml:space="preserve">/ </t>
    </r>
    <r>
      <rPr>
        <sz val="11"/>
        <color rgb="FF666666"/>
        <rFont val="WenQuanYi Zen Hei"/>
        <family val="2"/>
      </rPr>
      <t xml:space="preserve">가열 중 최대</t>
    </r>
  </si>
  <si>
    <r>
      <rPr>
        <sz val="11"/>
        <rFont val="WenQuanYi Zen Hei"/>
        <family val="2"/>
      </rPr>
      <t xml:space="preserve">기타</t>
    </r>
    <r>
      <rPr>
        <sz val="11"/>
        <rFont val="Pretendard"/>
        <family val="0"/>
        <charset val="1"/>
      </rPr>
      <t xml:space="preserve">(</t>
    </r>
    <r>
      <rPr>
        <sz val="11"/>
        <rFont val="WenQuanYi Zen Hei"/>
        <family val="2"/>
      </rPr>
      <t xml:space="preserve">카드단말기</t>
    </r>
    <r>
      <rPr>
        <sz val="11"/>
        <rFont val="Pretendard"/>
        <family val="0"/>
        <charset val="1"/>
      </rPr>
      <t xml:space="preserve">·</t>
    </r>
    <r>
      <rPr>
        <sz val="11"/>
        <rFont val="WenQuanYi Zen Hei"/>
        <family val="2"/>
      </rPr>
      <t xml:space="preserve">태블릿</t>
    </r>
    <r>
      <rPr>
        <sz val="11"/>
        <rFont val="Pretendard"/>
        <family val="0"/>
        <charset val="1"/>
      </rPr>
      <t xml:space="preserve">·</t>
    </r>
    <r>
      <rPr>
        <sz val="11"/>
        <rFont val="WenQuanYi Zen Hei"/>
        <family val="2"/>
      </rPr>
      <t xml:space="preserve">조명</t>
    </r>
    <r>
      <rPr>
        <sz val="11"/>
        <rFont val="Pretendard"/>
        <family val="0"/>
        <charset val="1"/>
      </rPr>
      <t xml:space="preserve">)</t>
    </r>
  </si>
  <si>
    <t xml:space="preserve">합계</t>
  </si>
  <si>
    <r>
      <rPr>
        <sz val="11"/>
        <rFont val="Pretendard"/>
        <family val="0"/>
        <charset val="1"/>
      </rPr>
      <t xml:space="preserve">5kW </t>
    </r>
    <r>
      <rPr>
        <sz val="11"/>
        <rFont val="WenQuanYi Zen Hei"/>
        <family val="2"/>
      </rPr>
      <t xml:space="preserve">대비 </t>
    </r>
    <r>
      <rPr>
        <sz val="11"/>
        <rFont val="Pretendard"/>
        <family val="0"/>
        <charset val="1"/>
      </rPr>
      <t xml:space="preserve">(</t>
    </r>
    <r>
      <rPr>
        <sz val="11"/>
        <rFont val="WenQuanYi Zen Hei"/>
        <family val="2"/>
      </rPr>
      <t xml:space="preserve">동시 사용 추정</t>
    </r>
    <r>
      <rPr>
        <sz val="11"/>
        <rFont val="Pretendard"/>
        <family val="0"/>
        <charset val="1"/>
      </rPr>
      <t xml:space="preserve">)</t>
    </r>
  </si>
  <si>
    <t xml:space="preserve">판단</t>
  </si>
  <si>
    <r>
      <rPr>
        <b val="true"/>
        <sz val="12"/>
        <rFont val="Pretendard"/>
        <family val="0"/>
        <charset val="1"/>
      </rPr>
      <t xml:space="preserve">B</t>
    </r>
    <r>
      <rPr>
        <b val="true"/>
        <sz val="12"/>
        <rFont val="WenQuanYi Zen Hei"/>
        <family val="2"/>
      </rPr>
      <t xml:space="preserve">안</t>
    </r>
    <r>
      <rPr>
        <b val="true"/>
        <sz val="12"/>
        <rFont val="Pretendard"/>
        <family val="0"/>
        <charset val="1"/>
      </rPr>
      <t xml:space="preserve">: </t>
    </r>
    <r>
      <rPr>
        <b val="true"/>
        <sz val="12"/>
        <rFont val="WenQuanYi Zen Hei"/>
        <family val="2"/>
      </rPr>
      <t xml:space="preserve">전자동 머신 </t>
    </r>
    <r>
      <rPr>
        <b val="true"/>
        <sz val="12"/>
        <rFont val="Pretendard"/>
        <family val="0"/>
        <charset val="1"/>
      </rPr>
      <t xml:space="preserve">2</t>
    </r>
    <r>
      <rPr>
        <b val="true"/>
        <sz val="12"/>
        <rFont val="WenQuanYi Zen Hei"/>
        <family val="2"/>
      </rPr>
      <t xml:space="preserve">대</t>
    </r>
  </si>
  <si>
    <t xml:space="preserve">전자동 머신</t>
  </si>
  <si>
    <r>
      <rPr>
        <b val="true"/>
        <sz val="12"/>
        <rFont val="Pretendard"/>
        <family val="0"/>
        <charset val="1"/>
      </rPr>
      <t xml:space="preserve">C</t>
    </r>
    <r>
      <rPr>
        <b val="true"/>
        <sz val="12"/>
        <rFont val="WenQuanYi Zen Hei"/>
        <family val="2"/>
      </rPr>
      <t xml:space="preserve">안</t>
    </r>
    <r>
      <rPr>
        <b val="true"/>
        <sz val="12"/>
        <rFont val="Pretendard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클로드 추천 검토용</t>
    </r>
    <r>
      <rPr>
        <b val="true"/>
        <sz val="12"/>
        <rFont val="Pretendard"/>
        <family val="0"/>
        <charset val="1"/>
      </rPr>
      <t xml:space="preserve">): </t>
    </r>
    <r>
      <rPr>
        <b val="true"/>
        <sz val="12"/>
        <rFont val="WenQuanYi Zen Hei"/>
        <family val="2"/>
      </rPr>
      <t xml:space="preserve">구수 라떼용 머신 </t>
    </r>
    <r>
      <rPr>
        <b val="true"/>
        <sz val="12"/>
        <rFont val="Pretendard"/>
        <family val="0"/>
        <charset val="1"/>
      </rPr>
      <t xml:space="preserve">1</t>
    </r>
    <r>
      <rPr>
        <b val="true"/>
        <sz val="12"/>
        <rFont val="WenQuanYi Zen Hei"/>
        <family val="2"/>
      </rPr>
      <t xml:space="preserve">대만</t>
    </r>
    <r>
      <rPr>
        <b val="true"/>
        <sz val="12"/>
        <rFont val="Pretendard"/>
        <family val="0"/>
        <charset val="1"/>
      </rPr>
      <t xml:space="preserve">, </t>
    </r>
    <r>
      <rPr>
        <b val="true"/>
        <sz val="12"/>
        <rFont val="WenQuanYi Zen Hei"/>
        <family val="2"/>
      </rPr>
      <t xml:space="preserve">온수는 머신 온수 꼭지</t>
    </r>
  </si>
  <si>
    <r>
      <rPr>
        <sz val="11"/>
        <color rgb="FF666666"/>
        <rFont val="WenQuanYi Zen Hei"/>
        <family val="2"/>
      </rPr>
      <t xml:space="preserve">추정</t>
    </r>
    <r>
      <rPr>
        <sz val="11"/>
        <color rgb="FF666666"/>
        <rFont val="Pretendard"/>
        <family val="0"/>
        <charset val="1"/>
      </rPr>
      <t xml:space="preserve">: </t>
    </r>
    <r>
      <rPr>
        <sz val="11"/>
        <color rgb="FF666666"/>
        <rFont val="WenQuanYi Zen Hei"/>
        <family val="2"/>
      </rPr>
      <t xml:space="preserve">일반적인 업소용 범위</t>
    </r>
    <r>
      <rPr>
        <sz val="11"/>
        <color rgb="FF666666"/>
        <rFont val="Pretendard"/>
        <family val="0"/>
        <charset val="1"/>
      </rPr>
      <t xml:space="preserve">. </t>
    </r>
    <r>
      <rPr>
        <sz val="11"/>
        <color rgb="FF666666"/>
        <rFont val="WenQuanYi Zen Hei"/>
        <family val="2"/>
      </rPr>
      <t xml:space="preserve">명판 값으로 바꾸기 </t>
    </r>
    <r>
      <rPr>
        <sz val="11"/>
        <color rgb="FF666666"/>
        <rFont val="Pretendard"/>
        <family val="0"/>
        <charset val="1"/>
      </rPr>
      <t xml:space="preserve">/ </t>
    </r>
    <r>
      <rPr>
        <sz val="11"/>
        <color rgb="FF666666"/>
        <rFont val="WenQuanYi Zen Hei"/>
        <family val="2"/>
      </rPr>
      <t xml:space="preserve">구수 </t>
    </r>
    <r>
      <rPr>
        <sz val="11"/>
        <color rgb="FF666666"/>
        <rFont val="Pretendard"/>
        <family val="0"/>
        <charset val="1"/>
      </rPr>
      <t xml:space="preserve">1</t>
    </r>
    <r>
      <rPr>
        <sz val="11"/>
        <color rgb="FF666666"/>
        <rFont val="WenQuanYi Zen Hei"/>
        <family val="2"/>
      </rPr>
      <t xml:space="preserve">종만 갈기</t>
    </r>
  </si>
  <si>
    <t xml:space="preserve">읽는 법</t>
  </si>
  <si>
    <r>
      <rPr>
        <sz val="11"/>
        <color rgb="FF444444"/>
        <rFont val="Pretendard"/>
        <family val="0"/>
        <charset val="1"/>
      </rPr>
      <t xml:space="preserve">· "</t>
    </r>
    <r>
      <rPr>
        <sz val="11"/>
        <color rgb="FF444444"/>
        <rFont val="WenQuanYi Zen Hei"/>
        <family val="2"/>
      </rPr>
      <t xml:space="preserve">동시 사용 추정</t>
    </r>
    <r>
      <rPr>
        <sz val="11"/>
        <color rgb="FF444444"/>
        <rFont val="Pretendard"/>
        <family val="0"/>
        <charset val="1"/>
      </rPr>
      <t xml:space="preserve">"</t>
    </r>
    <r>
      <rPr>
        <sz val="11"/>
        <color rgb="FF444444"/>
        <rFont val="WenQuanYi Zen Hei"/>
        <family val="2"/>
      </rPr>
      <t xml:space="preserve">이 </t>
    </r>
    <r>
      <rPr>
        <sz val="11"/>
        <color rgb="FF444444"/>
        <rFont val="Pretendard"/>
        <family val="0"/>
        <charset val="1"/>
      </rPr>
      <t xml:space="preserve">5kW</t>
    </r>
    <r>
      <rPr>
        <sz val="11"/>
        <color rgb="FF444444"/>
        <rFont val="WenQuanYi Zen Hei"/>
        <family val="2"/>
      </rPr>
      <t xml:space="preserve">의 </t>
    </r>
    <r>
      <rPr>
        <sz val="11"/>
        <color rgb="FF444444"/>
        <rFont val="Pretendard"/>
        <family val="0"/>
        <charset val="1"/>
      </rPr>
      <t xml:space="preserve">80%</t>
    </r>
    <r>
      <rPr>
        <sz val="11"/>
        <color rgb="FF444444"/>
        <rFont val="WenQuanYi Zen Hei"/>
        <family val="2"/>
      </rPr>
      <t xml:space="preserve">를 넘으면 차단기가 내려갈 위험이 커요</t>
    </r>
    <r>
      <rPr>
        <sz val="11"/>
        <color rgb="FF444444"/>
        <rFont val="Pretendard"/>
        <family val="0"/>
        <charset val="1"/>
      </rPr>
      <t xml:space="preserve">. </t>
    </r>
    <r>
      <rPr>
        <sz val="11"/>
        <color rgb="FF444444"/>
        <rFont val="WenQuanYi Zen Hei"/>
        <family val="2"/>
      </rPr>
      <t xml:space="preserve">머신</t>
    </r>
    <r>
      <rPr>
        <sz val="11"/>
        <color rgb="FF444444"/>
        <rFont val="Pretendard"/>
        <family val="0"/>
        <charset val="1"/>
      </rPr>
      <t xml:space="preserve">·</t>
    </r>
    <r>
      <rPr>
        <sz val="11"/>
        <color rgb="FF444444"/>
        <rFont val="WenQuanYi Zen Hei"/>
        <family val="2"/>
      </rPr>
      <t xml:space="preserve">온수기는 가열할 때 최대 전력을 써요</t>
    </r>
    <r>
      <rPr>
        <sz val="11"/>
        <color rgb="FF444444"/>
        <rFont val="Pretendard"/>
        <family val="0"/>
        <charset val="1"/>
      </rPr>
      <t xml:space="preserve">.</t>
    </r>
  </si>
  <si>
    <r>
      <rPr>
        <sz val="11"/>
        <color rgb="FF444444"/>
        <rFont val="Pretendard"/>
        <family val="0"/>
        <charset val="1"/>
      </rPr>
      <t xml:space="preserve">· </t>
    </r>
    <r>
      <rPr>
        <sz val="11"/>
        <color rgb="FF444444"/>
        <rFont val="WenQuanYi Zen Hei"/>
        <family val="2"/>
      </rPr>
      <t xml:space="preserve">하루 에스프레소는 구수 라떼용 약 </t>
    </r>
    <r>
      <rPr>
        <sz val="11"/>
        <color rgb="FF444444"/>
        <rFont val="Pretendard"/>
        <family val="0"/>
        <charset val="1"/>
      </rPr>
      <t xml:space="preserve">40</t>
    </r>
    <r>
      <rPr>
        <sz val="11"/>
        <color rgb="FF444444"/>
        <rFont val="WenQuanYi Zen Hei"/>
        <family val="2"/>
      </rPr>
      <t xml:space="preserve">샷</t>
    </r>
    <r>
      <rPr>
        <sz val="11"/>
        <color rgb="FF444444"/>
        <rFont val="Pretendard"/>
        <family val="0"/>
        <charset val="1"/>
      </rPr>
      <t xml:space="preserve">(</t>
    </r>
    <r>
      <rPr>
        <sz val="11"/>
        <color rgb="FF444444"/>
        <rFont val="WenQuanYi Zen Hei"/>
        <family val="2"/>
      </rPr>
      <t xml:space="preserve">추정</t>
    </r>
    <r>
      <rPr>
        <sz val="11"/>
        <color rgb="FF444444"/>
        <rFont val="Pretendard"/>
        <family val="0"/>
        <charset val="1"/>
      </rPr>
      <t xml:space="preserve">, </t>
    </r>
    <r>
      <rPr>
        <sz val="11"/>
        <color rgb="FF444444"/>
        <rFont val="WenQuanYi Zen Hei"/>
        <family val="2"/>
      </rPr>
      <t xml:space="preserve">드립백</t>
    </r>
    <r>
      <rPr>
        <sz val="11"/>
        <color rgb="FF444444"/>
        <rFont val="Pretendard"/>
        <family val="0"/>
        <charset val="1"/>
      </rPr>
      <t xml:space="preserve">_</t>
    </r>
    <r>
      <rPr>
        <sz val="11"/>
        <color rgb="FF444444"/>
        <rFont val="WenQuanYi Zen Hei"/>
        <family val="2"/>
      </rPr>
      <t xml:space="preserve">원가표</t>
    </r>
    <r>
      <rPr>
        <sz val="11"/>
        <color rgb="FF444444"/>
        <rFont val="Pretendard"/>
        <family val="0"/>
        <charset val="1"/>
      </rPr>
      <t xml:space="preserve">.xlsx </t>
    </r>
    <r>
      <rPr>
        <sz val="11"/>
        <color rgb="FF444444"/>
        <rFont val="WenQuanYi Zen Hei"/>
        <family val="2"/>
      </rPr>
      <t xml:space="preserve">구수 라떼 탭</t>
    </r>
    <r>
      <rPr>
        <sz val="11"/>
        <color rgb="FF444444"/>
        <rFont val="Pretendard"/>
        <family val="0"/>
        <charset val="1"/>
      </rPr>
      <t xml:space="preserve">)</t>
    </r>
    <r>
      <rPr>
        <sz val="11"/>
        <color rgb="FF444444"/>
        <rFont val="WenQuanYi Zen Hei"/>
        <family val="2"/>
      </rPr>
      <t xml:space="preserve">이라</t>
    </r>
    <r>
      <rPr>
        <sz val="11"/>
        <color rgb="FF444444"/>
        <rFont val="Pretendard"/>
        <family val="0"/>
        <charset val="1"/>
      </rPr>
      <t xml:space="preserve">, </t>
    </r>
    <r>
      <rPr>
        <sz val="11"/>
        <color rgb="FF444444"/>
        <rFont val="WenQuanYi Zen Hei"/>
        <family val="2"/>
      </rPr>
      <t xml:space="preserve">블랙 </t>
    </r>
    <r>
      <rPr>
        <sz val="11"/>
        <color rgb="FF444444"/>
        <rFont val="Pretendard"/>
        <family val="0"/>
        <charset val="1"/>
      </rPr>
      <t xml:space="preserve">3</t>
    </r>
    <r>
      <rPr>
        <sz val="11"/>
        <color rgb="FF444444"/>
        <rFont val="WenQuanYi Zen Hei"/>
        <family val="2"/>
      </rPr>
      <t xml:space="preserve">종을 에스프레소로 뽑지 않는다면 머신 </t>
    </r>
    <r>
      <rPr>
        <sz val="11"/>
        <color rgb="FF444444"/>
        <rFont val="Pretendard"/>
        <family val="0"/>
        <charset val="1"/>
      </rPr>
      <t xml:space="preserve">1</t>
    </r>
    <r>
      <rPr>
        <sz val="11"/>
        <color rgb="FF444444"/>
        <rFont val="WenQuanYi Zen Hei"/>
        <family val="2"/>
      </rPr>
      <t xml:space="preserve">대로 충분해요</t>
    </r>
    <r>
      <rPr>
        <sz val="11"/>
        <color rgb="FF444444"/>
        <rFont val="Pretendard"/>
        <family val="0"/>
        <charset val="1"/>
      </rPr>
      <t xml:space="preserve">.</t>
    </r>
  </si>
  <si>
    <r>
      <rPr>
        <sz val="11"/>
        <color rgb="FF444444"/>
        <rFont val="Pretendard"/>
        <family val="0"/>
        <charset val="1"/>
      </rPr>
      <t xml:space="preserve">· </t>
    </r>
    <r>
      <rPr>
        <sz val="11"/>
        <color rgb="FF444444"/>
        <rFont val="WenQuanYi Zen Hei"/>
        <family val="2"/>
      </rPr>
      <t xml:space="preserve">멀티탭은 한 개에 보통 </t>
    </r>
    <r>
      <rPr>
        <sz val="11"/>
        <color rgb="FF444444"/>
        <rFont val="Pretendard"/>
        <family val="0"/>
        <charset val="1"/>
      </rPr>
      <t xml:space="preserve">16A(</t>
    </r>
    <r>
      <rPr>
        <sz val="11"/>
        <color rgb="FF444444"/>
        <rFont val="WenQuanYi Zen Hei"/>
        <family val="2"/>
      </rPr>
      <t xml:space="preserve">약 </t>
    </r>
    <r>
      <rPr>
        <sz val="11"/>
        <color rgb="FF444444"/>
        <rFont val="Pretendard"/>
        <family val="0"/>
        <charset val="1"/>
      </rPr>
      <t xml:space="preserve">3.5kW)</t>
    </r>
    <r>
      <rPr>
        <sz val="11"/>
        <color rgb="FF444444"/>
        <rFont val="WenQuanYi Zen Hei"/>
        <family val="2"/>
      </rPr>
      <t xml:space="preserve">까지예요</t>
    </r>
    <r>
      <rPr>
        <sz val="11"/>
        <color rgb="FF444444"/>
        <rFont val="Pretendard"/>
        <family val="0"/>
        <charset val="1"/>
      </rPr>
      <t xml:space="preserve">. </t>
    </r>
    <r>
      <rPr>
        <sz val="11"/>
        <color rgb="FF444444"/>
        <rFont val="WenQuanYi Zen Hei"/>
        <family val="2"/>
      </rPr>
      <t xml:space="preserve">에스프레소 머신</t>
    </r>
    <r>
      <rPr>
        <sz val="11"/>
        <color rgb="FF444444"/>
        <rFont val="Pretendard"/>
        <family val="0"/>
        <charset val="1"/>
      </rPr>
      <t xml:space="preserve">·</t>
    </r>
    <r>
      <rPr>
        <sz val="11"/>
        <color rgb="FF444444"/>
        <rFont val="WenQuanYi Zen Hei"/>
        <family val="2"/>
      </rPr>
      <t xml:space="preserve">온수기는 멀티탭에 같이 꽂지 말고 각각 벽</t>
    </r>
    <r>
      <rPr>
        <sz val="11"/>
        <color rgb="FF444444"/>
        <rFont val="Pretendard"/>
        <family val="0"/>
        <charset val="1"/>
      </rPr>
      <t xml:space="preserve">(</t>
    </r>
    <r>
      <rPr>
        <sz val="11"/>
        <color rgb="FF444444"/>
        <rFont val="WenQuanYi Zen Hei"/>
        <family val="2"/>
      </rPr>
      <t xml:space="preserve">부스</t>
    </r>
    <r>
      <rPr>
        <sz val="11"/>
        <color rgb="FF444444"/>
        <rFont val="Pretendard"/>
        <family val="0"/>
        <charset val="1"/>
      </rPr>
      <t xml:space="preserve">) </t>
    </r>
    <r>
      <rPr>
        <sz val="11"/>
        <color rgb="FF444444"/>
        <rFont val="WenQuanYi Zen Hei"/>
        <family val="2"/>
      </rPr>
      <t xml:space="preserve">콘센트나 직결로</t>
    </r>
    <r>
      <rPr>
        <sz val="11"/>
        <color rgb="FF444444"/>
        <rFont val="Pretendard"/>
        <family val="0"/>
        <charset val="1"/>
      </rPr>
      <t xml:space="preserve">.</t>
    </r>
  </si>
  <si>
    <r>
      <rPr>
        <sz val="11"/>
        <color rgb="FF444444"/>
        <rFont val="Pretendard"/>
        <family val="0"/>
        <charset val="1"/>
      </rPr>
      <t xml:space="preserve">· </t>
    </r>
    <r>
      <rPr>
        <sz val="11"/>
        <color rgb="FF444444"/>
        <rFont val="WenQuanYi Zen Hei"/>
        <family val="2"/>
      </rPr>
      <t xml:space="preserve">단상 </t>
    </r>
    <r>
      <rPr>
        <sz val="11"/>
        <color rgb="FF444444"/>
        <rFont val="Pretendard"/>
        <family val="0"/>
        <charset val="1"/>
      </rPr>
      <t xml:space="preserve">220V</t>
    </r>
    <r>
      <rPr>
        <sz val="11"/>
        <color rgb="FF444444"/>
        <rFont val="WenQuanYi Zen Hei"/>
        <family val="2"/>
      </rPr>
      <t xml:space="preserve">인지</t>
    </r>
    <r>
      <rPr>
        <sz val="11"/>
        <color rgb="FF444444"/>
        <rFont val="Pretendard"/>
        <family val="0"/>
        <charset val="1"/>
      </rPr>
      <t xml:space="preserve">, </t>
    </r>
    <r>
      <rPr>
        <sz val="11"/>
        <color rgb="FF444444"/>
        <rFont val="WenQuanYi Zen Hei"/>
        <family val="2"/>
      </rPr>
      <t xml:space="preserve">머신이 </t>
    </r>
    <r>
      <rPr>
        <sz val="11"/>
        <color rgb="FF444444"/>
        <rFont val="Pretendard"/>
        <family val="0"/>
        <charset val="1"/>
      </rPr>
      <t xml:space="preserve">3</t>
    </r>
    <r>
      <rPr>
        <sz val="11"/>
        <color rgb="FF444444"/>
        <rFont val="WenQuanYi Zen Hei"/>
        <family val="2"/>
      </rPr>
      <t xml:space="preserve">상을 쓰는 모델인지 픽스잇커피에 꼭 확인하세요</t>
    </r>
    <r>
      <rPr>
        <sz val="11"/>
        <color rgb="FF444444"/>
        <rFont val="Pretendard"/>
        <family val="0"/>
        <charset val="1"/>
      </rPr>
      <t xml:space="preserve">(</t>
    </r>
    <r>
      <rPr>
        <sz val="11"/>
        <color rgb="FF444444"/>
        <rFont val="WenQuanYi Zen Hei"/>
        <family val="2"/>
      </rPr>
      <t xml:space="preserve">행사정보</t>
    </r>
    <r>
      <rPr>
        <sz val="11"/>
        <color rgb="FF444444"/>
        <rFont val="Pretendard"/>
        <family val="0"/>
        <charset val="1"/>
      </rPr>
      <t xml:space="preserve">: </t>
    </r>
    <r>
      <rPr>
        <sz val="11"/>
        <color rgb="FF444444"/>
        <rFont val="WenQuanYi Zen Hei"/>
        <family val="2"/>
      </rPr>
      <t xml:space="preserve">단상 </t>
    </r>
    <r>
      <rPr>
        <sz val="11"/>
        <color rgb="FF444444"/>
        <rFont val="Pretendard"/>
        <family val="0"/>
        <charset val="1"/>
      </rPr>
      <t xml:space="preserve">220V).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</si>
</sst>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Pretendard"/>
      <family val="0"/>
      <charset val="1"/>
    </font>
    <font>
      <sz val="11"/>
      <color rgb="FF666666"/>
      <name val="WenQuanYi Zen Hei"/>
      <family val="2"/>
    </font>
    <font>
      <sz val="11"/>
      <color rgb="FF666666"/>
      <name val="Pretendard"/>
      <family val="0"/>
      <charset val="1"/>
    </font>
    <font>
      <b val="true"/>
      <sz val="11"/>
      <name val="WenQuanYi Zen Hei"/>
      <family val="2"/>
    </font>
    <font>
      <b val="true"/>
      <sz val="11"/>
      <name val="Pretendard"/>
      <family val="0"/>
      <charset val="1"/>
    </font>
    <font>
      <sz val="11"/>
      <color rgb="FF0000FF"/>
      <name val="Pretendard"/>
      <family val="0"/>
      <charset val="1"/>
    </font>
    <font>
      <b val="true"/>
      <sz val="12"/>
      <name val="Pretendard"/>
      <family val="0"/>
      <charset val="1"/>
    </font>
    <font>
      <b val="true"/>
      <sz val="12"/>
      <name val="WenQuanYi Zen Hei"/>
      <family val="2"/>
    </font>
    <font>
      <sz val="11"/>
      <name val="WenQuanYi Zen Hei"/>
      <family val="2"/>
    </font>
    <font>
      <sz val="11"/>
      <name val="Pretendard"/>
      <family val="0"/>
      <charset val="1"/>
    </font>
    <font>
      <b val="true"/>
      <sz val="11"/>
      <color rgb="FF000000"/>
      <name val="WenQuanYi Zen Hei"/>
      <family val="2"/>
    </font>
    <font>
      <sz val="11"/>
      <color rgb="FF444444"/>
      <name val="Pretendard"/>
      <family val="0"/>
      <charset val="1"/>
    </font>
    <font>
      <sz val="11"/>
      <color rgb="FF444444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5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5000</v>
      </c>
      <c r="C3" s="2" t="s">
        <v>3</v>
      </c>
    </row>
    <row r="5" customFormat="false" ht="17.15" hidden="false" customHeight="false" outlineLevel="0" collapsed="false">
      <c r="A5" s="5" t="s">
        <v>4</v>
      </c>
    </row>
    <row r="6" customFormat="false" ht="15" hidden="false" customHeight="false" outlineLevel="0" collapsed="false">
      <c r="A6" s="6" t="s">
        <v>5</v>
      </c>
      <c r="B6" s="6" t="s">
        <v>6</v>
      </c>
      <c r="C6" s="7" t="s">
        <v>7</v>
      </c>
      <c r="D6" s="6" t="s">
        <v>8</v>
      </c>
      <c r="E6" s="6" t="s">
        <v>9</v>
      </c>
      <c r="F6" s="6" t="s">
        <v>10</v>
      </c>
      <c r="G6" s="6" t="s">
        <v>11</v>
      </c>
    </row>
    <row r="7" customFormat="false" ht="15" hidden="false" customHeight="false" outlineLevel="0" collapsed="false">
      <c r="A7" s="8" t="s">
        <v>12</v>
      </c>
      <c r="B7" s="9" t="n">
        <v>1</v>
      </c>
      <c r="C7" s="10" t="n">
        <v>4000</v>
      </c>
      <c r="D7" s="11" t="n">
        <v>1</v>
      </c>
      <c r="E7" s="12" t="n">
        <f aca="false">B7*C7</f>
        <v>4000</v>
      </c>
      <c r="F7" s="12" t="n">
        <f aca="false">E7*D7</f>
        <v>4000</v>
      </c>
      <c r="G7" s="2" t="s">
        <v>13</v>
      </c>
    </row>
    <row r="8" customFormat="false" ht="15" hidden="false" customHeight="false" outlineLevel="0" collapsed="false">
      <c r="A8" s="8" t="s">
        <v>14</v>
      </c>
      <c r="B8" s="9" t="n">
        <v>4</v>
      </c>
      <c r="C8" s="10" t="n">
        <v>350</v>
      </c>
      <c r="D8" s="11" t="n">
        <v>0.25</v>
      </c>
      <c r="E8" s="12" t="n">
        <f aca="false">B8*C8</f>
        <v>1400</v>
      </c>
      <c r="F8" s="12" t="n">
        <f aca="false">E8*D8</f>
        <v>350</v>
      </c>
      <c r="G8" s="2" t="s">
        <v>15</v>
      </c>
    </row>
    <row r="9" customFormat="false" ht="15" hidden="false" customHeight="false" outlineLevel="0" collapsed="false">
      <c r="A9" s="8" t="s">
        <v>16</v>
      </c>
      <c r="B9" s="9" t="n">
        <v>1</v>
      </c>
      <c r="C9" s="10" t="n">
        <v>300</v>
      </c>
      <c r="D9" s="11" t="n">
        <v>1</v>
      </c>
      <c r="E9" s="12" t="n">
        <f aca="false">B9*C9</f>
        <v>300</v>
      </c>
      <c r="F9" s="12" t="n">
        <f aca="false">E9*D9</f>
        <v>300</v>
      </c>
      <c r="G9" s="2" t="s">
        <v>17</v>
      </c>
    </row>
    <row r="10" customFormat="false" ht="15" hidden="false" customHeight="false" outlineLevel="0" collapsed="false">
      <c r="A10" s="8" t="s">
        <v>18</v>
      </c>
      <c r="B10" s="9" t="n">
        <v>1</v>
      </c>
      <c r="C10" s="10" t="n">
        <v>3000</v>
      </c>
      <c r="D10" s="11" t="n">
        <v>1</v>
      </c>
      <c r="E10" s="12" t="n">
        <f aca="false">B10*C10</f>
        <v>3000</v>
      </c>
      <c r="F10" s="12" t="n">
        <f aca="false">E10*D10</f>
        <v>3000</v>
      </c>
      <c r="G10" s="2" t="s">
        <v>19</v>
      </c>
    </row>
    <row r="11" customFormat="false" ht="15" hidden="false" customHeight="false" outlineLevel="0" collapsed="false">
      <c r="A11" s="8" t="s">
        <v>20</v>
      </c>
      <c r="B11" s="9" t="n">
        <v>1</v>
      </c>
      <c r="C11" s="10" t="n">
        <v>200</v>
      </c>
      <c r="D11" s="11" t="n">
        <v>1</v>
      </c>
      <c r="E11" s="12" t="n">
        <f aca="false">B11*C11</f>
        <v>200</v>
      </c>
      <c r="F11" s="12" t="n">
        <f aca="false">E11*D11</f>
        <v>200</v>
      </c>
      <c r="G11" s="2" t="s">
        <v>17</v>
      </c>
    </row>
    <row r="12" customFormat="false" ht="15" hidden="false" customHeight="false" outlineLevel="0" collapsed="false">
      <c r="A12" s="3" t="s">
        <v>21</v>
      </c>
      <c r="E12" s="13" t="n">
        <f aca="false">SUM(E7:E11)</f>
        <v>8900</v>
      </c>
      <c r="F12" s="13" t="n">
        <f aca="false">SUM(F7:F11)</f>
        <v>7850</v>
      </c>
    </row>
    <row r="13" customFormat="false" ht="15" hidden="false" customHeight="false" outlineLevel="0" collapsed="false">
      <c r="A13" s="14" t="s">
        <v>22</v>
      </c>
      <c r="F13" s="15" t="n">
        <f aca="false">F12/$B$3</f>
        <v>1.57</v>
      </c>
    </row>
    <row r="14" customFormat="false" ht="15" hidden="false" customHeight="false" outlineLevel="0" collapsed="false">
      <c r="A14" s="8" t="s">
        <v>23</v>
      </c>
      <c r="F14" s="3" t="str">
        <f aca="false">IF(F12&lt;=$B$3*0.8,"여유 있음",IF(F12&lt;=$B$3,"빠듯함(80% 넘음)","초과 — 장비 줄이기"))</f>
        <v>초과 — 장비 줄이기</v>
      </c>
    </row>
    <row r="16" customFormat="false" ht="17.15" hidden="false" customHeight="false" outlineLevel="0" collapsed="false">
      <c r="A16" s="5" t="s">
        <v>24</v>
      </c>
    </row>
    <row r="17" customFormat="false" ht="15" hidden="false" customHeight="false" outlineLevel="0" collapsed="false">
      <c r="A17" s="6" t="s">
        <v>5</v>
      </c>
      <c r="B17" s="6" t="s">
        <v>6</v>
      </c>
      <c r="C17" s="7" t="s">
        <v>7</v>
      </c>
      <c r="D17" s="6" t="s">
        <v>8</v>
      </c>
      <c r="E17" s="6" t="s">
        <v>9</v>
      </c>
      <c r="F17" s="6" t="s">
        <v>10</v>
      </c>
      <c r="G17" s="6" t="s">
        <v>11</v>
      </c>
    </row>
    <row r="18" customFormat="false" ht="15" hidden="false" customHeight="false" outlineLevel="0" collapsed="false">
      <c r="A18" s="8" t="s">
        <v>25</v>
      </c>
      <c r="B18" s="9" t="n">
        <v>2</v>
      </c>
      <c r="C18" s="10" t="n">
        <v>3000</v>
      </c>
      <c r="D18" s="11" t="n">
        <v>1</v>
      </c>
      <c r="E18" s="12" t="n">
        <f aca="false">B18*C18</f>
        <v>6000</v>
      </c>
      <c r="F18" s="12" t="n">
        <f aca="false">E18*D18</f>
        <v>6000</v>
      </c>
      <c r="G18" s="2" t="s">
        <v>17</v>
      </c>
    </row>
    <row r="19" customFormat="false" ht="15" hidden="false" customHeight="false" outlineLevel="0" collapsed="false">
      <c r="A19" s="8" t="s">
        <v>16</v>
      </c>
      <c r="B19" s="9" t="n">
        <v>1</v>
      </c>
      <c r="C19" s="10" t="n">
        <v>300</v>
      </c>
      <c r="D19" s="11" t="n">
        <v>1</v>
      </c>
      <c r="E19" s="12" t="n">
        <f aca="false">B19*C19</f>
        <v>300</v>
      </c>
      <c r="F19" s="12" t="n">
        <f aca="false">E19*D19</f>
        <v>300</v>
      </c>
      <c r="G19" s="2" t="s">
        <v>17</v>
      </c>
    </row>
    <row r="20" customFormat="false" ht="15" hidden="false" customHeight="false" outlineLevel="0" collapsed="false">
      <c r="A20" s="8" t="s">
        <v>18</v>
      </c>
      <c r="B20" s="9" t="n">
        <v>1</v>
      </c>
      <c r="C20" s="10" t="n">
        <v>3000</v>
      </c>
      <c r="D20" s="11" t="n">
        <v>1</v>
      </c>
      <c r="E20" s="12" t="n">
        <f aca="false">B20*C20</f>
        <v>3000</v>
      </c>
      <c r="F20" s="12" t="n">
        <f aca="false">E20*D20</f>
        <v>3000</v>
      </c>
      <c r="G20" s="2" t="s">
        <v>17</v>
      </c>
    </row>
    <row r="21" customFormat="false" ht="15" hidden="false" customHeight="false" outlineLevel="0" collapsed="false">
      <c r="A21" s="8" t="s">
        <v>20</v>
      </c>
      <c r="B21" s="9" t="n">
        <v>1</v>
      </c>
      <c r="C21" s="10" t="n">
        <v>200</v>
      </c>
      <c r="D21" s="11" t="n">
        <v>1</v>
      </c>
      <c r="E21" s="12" t="n">
        <f aca="false">B21*C21</f>
        <v>200</v>
      </c>
      <c r="F21" s="12" t="n">
        <f aca="false">E21*D21</f>
        <v>200</v>
      </c>
      <c r="G21" s="2" t="s">
        <v>17</v>
      </c>
    </row>
    <row r="22" customFormat="false" ht="15" hidden="false" customHeight="false" outlineLevel="0" collapsed="false">
      <c r="A22" s="3" t="s">
        <v>21</v>
      </c>
      <c r="E22" s="13" t="n">
        <f aca="false">SUM(E18:E21)</f>
        <v>9500</v>
      </c>
      <c r="F22" s="13" t="n">
        <f aca="false">SUM(F18:F21)</f>
        <v>9500</v>
      </c>
    </row>
    <row r="23" customFormat="false" ht="15" hidden="false" customHeight="false" outlineLevel="0" collapsed="false">
      <c r="A23" s="14" t="s">
        <v>22</v>
      </c>
      <c r="F23" s="15" t="n">
        <f aca="false">F22/$B$3</f>
        <v>1.9</v>
      </c>
    </row>
    <row r="24" customFormat="false" ht="15" hidden="false" customHeight="false" outlineLevel="0" collapsed="false">
      <c r="A24" s="8" t="s">
        <v>23</v>
      </c>
      <c r="F24" s="3" t="str">
        <f aca="false">IF(F22&lt;=$B$3*0.8,"여유 있음",IF(F22&lt;=$B$3,"빠듯함(80% 넘음)","초과 — 장비 줄이기"))</f>
        <v>초과 — 장비 줄이기</v>
      </c>
    </row>
    <row r="26" customFormat="false" ht="17.15" hidden="false" customHeight="false" outlineLevel="0" collapsed="false">
      <c r="A26" s="5" t="s">
        <v>26</v>
      </c>
    </row>
    <row r="27" customFormat="false" ht="15" hidden="false" customHeight="false" outlineLevel="0" collapsed="false">
      <c r="A27" s="6" t="s">
        <v>5</v>
      </c>
      <c r="B27" s="6" t="s">
        <v>6</v>
      </c>
      <c r="C27" s="7" t="s">
        <v>7</v>
      </c>
      <c r="D27" s="6" t="s">
        <v>8</v>
      </c>
      <c r="E27" s="6" t="s">
        <v>9</v>
      </c>
      <c r="F27" s="6" t="s">
        <v>10</v>
      </c>
      <c r="G27" s="6" t="s">
        <v>11</v>
      </c>
    </row>
    <row r="28" customFormat="false" ht="15" hidden="false" customHeight="false" outlineLevel="0" collapsed="false">
      <c r="A28" s="8" t="s">
        <v>12</v>
      </c>
      <c r="B28" s="9" t="n">
        <v>1</v>
      </c>
      <c r="C28" s="10" t="n">
        <v>4000</v>
      </c>
      <c r="D28" s="11" t="n">
        <v>1</v>
      </c>
      <c r="E28" s="12" t="n">
        <f aca="false">B28*C28</f>
        <v>4000</v>
      </c>
      <c r="F28" s="12" t="n">
        <f aca="false">E28*D28</f>
        <v>4000</v>
      </c>
      <c r="G28" s="2" t="s">
        <v>17</v>
      </c>
    </row>
    <row r="29" customFormat="false" ht="15" hidden="false" customHeight="false" outlineLevel="0" collapsed="false">
      <c r="A29" s="8" t="s">
        <v>14</v>
      </c>
      <c r="B29" s="9" t="n">
        <v>1</v>
      </c>
      <c r="C29" s="10" t="n">
        <v>350</v>
      </c>
      <c r="D29" s="11" t="n">
        <v>1</v>
      </c>
      <c r="E29" s="12" t="n">
        <f aca="false">B29*C29</f>
        <v>350</v>
      </c>
      <c r="F29" s="12" t="n">
        <f aca="false">E29*D29</f>
        <v>350</v>
      </c>
      <c r="G29" s="2" t="s">
        <v>27</v>
      </c>
    </row>
    <row r="30" customFormat="false" ht="15" hidden="false" customHeight="false" outlineLevel="0" collapsed="false">
      <c r="A30" s="8" t="s">
        <v>16</v>
      </c>
      <c r="B30" s="9" t="n">
        <v>1</v>
      </c>
      <c r="C30" s="10" t="n">
        <v>300</v>
      </c>
      <c r="D30" s="11" t="n">
        <v>1</v>
      </c>
      <c r="E30" s="12" t="n">
        <f aca="false">B30*C30</f>
        <v>300</v>
      </c>
      <c r="F30" s="12" t="n">
        <f aca="false">E30*D30</f>
        <v>300</v>
      </c>
      <c r="G30" s="2" t="s">
        <v>17</v>
      </c>
    </row>
    <row r="31" customFormat="false" ht="15" hidden="false" customHeight="false" outlineLevel="0" collapsed="false">
      <c r="A31" s="8" t="s">
        <v>20</v>
      </c>
      <c r="B31" s="9" t="n">
        <v>1</v>
      </c>
      <c r="C31" s="10" t="n">
        <v>200</v>
      </c>
      <c r="D31" s="11" t="n">
        <v>1</v>
      </c>
      <c r="E31" s="12" t="n">
        <f aca="false">B31*C31</f>
        <v>200</v>
      </c>
      <c r="F31" s="12" t="n">
        <f aca="false">E31*D31</f>
        <v>200</v>
      </c>
      <c r="G31" s="2" t="s">
        <v>17</v>
      </c>
    </row>
    <row r="32" customFormat="false" ht="15" hidden="false" customHeight="false" outlineLevel="0" collapsed="false">
      <c r="A32" s="3" t="s">
        <v>21</v>
      </c>
      <c r="E32" s="13" t="n">
        <f aca="false">SUM(E28:E31)</f>
        <v>4850</v>
      </c>
      <c r="F32" s="13" t="n">
        <f aca="false">SUM(F28:F31)</f>
        <v>4850</v>
      </c>
    </row>
    <row r="33" customFormat="false" ht="15" hidden="false" customHeight="false" outlineLevel="0" collapsed="false">
      <c r="A33" s="14" t="s">
        <v>22</v>
      </c>
      <c r="F33" s="15" t="n">
        <f aca="false">F32/$B$3</f>
        <v>0.97</v>
      </c>
    </row>
    <row r="34" customFormat="false" ht="15" hidden="false" customHeight="false" outlineLevel="0" collapsed="false">
      <c r="A34" s="8" t="s">
        <v>23</v>
      </c>
      <c r="F34" s="3" t="str">
        <f aca="false">IF(F32&lt;=$B$3*0.8,"여유 있음",IF(F32&lt;=$B$3,"빠듯함(80% 넘음)","초과 — 장비 줄이기"))</f>
        <v>빠듯함(80% 넘음)</v>
      </c>
    </row>
    <row r="36" customFormat="false" ht="15" hidden="false" customHeight="false" outlineLevel="0" collapsed="false">
      <c r="A36" s="16" t="s">
        <v>28</v>
      </c>
    </row>
    <row r="37" customFormat="false" ht="15" hidden="false" customHeight="false" outlineLevel="0" collapsed="false">
      <c r="A37" s="17" t="s">
        <v>29</v>
      </c>
    </row>
    <row r="38" customFormat="false" ht="15" hidden="false" customHeight="false" outlineLevel="0" collapsed="false">
      <c r="A38" s="17" t="s">
        <v>30</v>
      </c>
    </row>
    <row r="39" customFormat="false" ht="15" hidden="false" customHeight="false" outlineLevel="0" collapsed="false">
      <c r="A39" s="17" t="s">
        <v>31</v>
      </c>
    </row>
    <row r="40" customFormat="false" ht="15" hidden="false" customHeight="false" outlineLevel="0" collapsed="false">
      <c r="A40" s="1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2026-10-06T12:46:16Z</dcterms:created>
  <dc:creator>openpyxl</dc:creator>
  <dc:description/>
  <dc:language>en-US</dc:language>
  <cp:lastModifiedBy/>
  <dcterms:modified xsi:type="dcterms:W3CDTF">2026-10-06T12:46:16Z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