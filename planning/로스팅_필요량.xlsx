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로스팅 필요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1E3FA3"/>
    </font>
    <font>
      <b val="1"/>
    </font>
  </fonts>
  <fills count="3">
    <fill>
      <patternFill/>
    </fill>
    <fill>
      <patternFill patternType="gray125"/>
    </fill>
    <fill>
      <patternFill patternType="solid">
        <f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9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6" customWidth="1" min="9" max="9"/>
    <col width="10" customWidth="1" min="10" max="10"/>
  </cols>
  <sheetData>
    <row r="1">
      <c r="A1" s="1" t="inlineStr">
        <is>
          <t>카페쇼 시음용 로스팅 필요량 (11/3~7, 2026-10-28 시안)</t>
        </is>
      </c>
    </row>
    <row r="2">
      <c r="A2" t="inlineStr">
        <is>
          <t>노란 칸(파란 글씨)만 바꾸면 아래가 다시 계산돼요. 드립백 4종 500개씩은 생산 완료라 제외.</t>
        </is>
      </c>
    </row>
    <row r="4">
      <c r="A4" t="inlineStr">
        <is>
          <t>4일 손님 수(명)</t>
        </is>
      </c>
      <c r="B4" s="2" t="n">
        <v>900</v>
      </c>
      <c r="C4" t="inlineStr">
        <is>
          <t>처리량_계산.xlsx 최대값</t>
        </is>
      </c>
    </row>
    <row r="5">
      <c r="A5" t="inlineStr">
        <is>
          <t>1인당 잔 수(리필 포함)</t>
        </is>
      </c>
      <c r="B5" s="2" t="n">
        <v>4.3</v>
      </c>
      <c r="C5" t="inlineStr">
        <is>
          <t>처리량_계산.xlsx</t>
        </is>
      </c>
    </row>
    <row r="6">
      <c r="A6" t="inlineStr">
        <is>
          <t>1잔 양(ml)</t>
        </is>
      </c>
      <c r="B6" s="2" t="n">
        <v>30</v>
      </c>
      <c r="C6" t="inlineStr">
        <is>
          <t>처리량_계산.xlsx(추정)</t>
        </is>
      </c>
    </row>
    <row r="7">
      <c r="A7" t="inlineStr">
        <is>
          <t>블랙 추출 비율(원두 g : 물 ml) 물</t>
        </is>
      </c>
      <c r="B7" s="2" t="n">
        <v>15</v>
      </c>
      <c r="C7" t="inlineStr">
        <is>
          <t>추정: 1:15 드립 기준. 추출 방식 정해지면 고치기</t>
        </is>
      </c>
    </row>
    <row r="8">
      <c r="A8" t="inlineStr">
        <is>
          <t>원두가 머금는 물(원두 g당 ml)</t>
        </is>
      </c>
      <c r="B8" s="2" t="n">
        <v>2</v>
      </c>
      <c r="C8" t="inlineStr">
        <is>
          <t>추정</t>
        </is>
      </c>
    </row>
    <row r="9">
      <c r="A9" t="inlineStr">
        <is>
          <t>라떼 1통 원두(g)</t>
        </is>
      </c>
      <c r="B9" s="2" t="n">
        <v>20</v>
      </c>
      <c r="C9" t="inlineStr">
        <is>
          <t>결정사항 10/6: 에스프레소 20g 도징</t>
        </is>
      </c>
    </row>
    <row r="10">
      <c r="A10" t="inlineStr">
        <is>
          <t>라떼 1통 양(ml) = 에스프레소 41 + 우유 280</t>
        </is>
      </c>
      <c r="B10" s="2" t="n">
        <v>321</v>
      </c>
      <c r="C10" t="inlineStr">
        <is>
          <t>결정사항 10/6</t>
        </is>
      </c>
    </row>
    <row r="11">
      <c r="A11" t="inlineStr">
        <is>
          <t>라떼 1통 우유(ml)</t>
        </is>
      </c>
      <c r="B11" s="2" t="n">
        <v>280</v>
      </c>
      <c r="C11" t="inlineStr">
        <is>
          <t>결정사항 10/6</t>
        </is>
      </c>
    </row>
    <row r="12">
      <c r="A12" t="inlineStr">
        <is>
          <t>여유분(테스트·버림·리필 더)</t>
        </is>
      </c>
      <c r="B12" s="2" t="n">
        <v>0.2</v>
      </c>
      <c r="C12" t="inlineStr">
        <is>
          <t>추정</t>
        </is>
      </c>
    </row>
    <row r="13">
      <c r="A13" t="inlineStr">
        <is>
          <t>진열 샘플(종당, kg)</t>
        </is>
      </c>
      <c r="B13" s="2" t="n">
        <v>0.25</v>
      </c>
      <c r="C13" t="inlineStr">
        <is>
          <t>추정: 홀빈 밥그릇 + 매일 아침 분쇄 반찬그릇 4일</t>
        </is>
      </c>
    </row>
    <row r="14">
      <c r="A14" t="inlineStr">
        <is>
          <t>로스팅 감량</t>
        </is>
      </c>
      <c r="B14" s="2" t="n">
        <v>0.15</v>
      </c>
      <c r="C14" t="inlineStr">
        <is>
          <t>추정: 생두 → 원두 무게 줄어드는 비율</t>
        </is>
      </c>
    </row>
    <row r="15">
      <c r="A15" t="inlineStr">
        <is>
          <t>허벌 게이샤 비율</t>
        </is>
      </c>
      <c r="B15" s="2" t="n">
        <v>0.67</v>
      </c>
      <c r="C15" t="inlineStr">
        <is>
          <t>결정사항 10/28 라벨 기준 67:33</t>
        </is>
      </c>
    </row>
    <row r="18">
      <c r="A18" s="3" t="inlineStr">
        <is>
          <t>커피</t>
        </is>
      </c>
      <c r="B18" s="3" t="inlineStr">
        <is>
          <t>방식</t>
        </is>
      </c>
      <c r="C18" s="3" t="inlineStr">
        <is>
          <t>잔 수</t>
        </is>
      </c>
      <c r="D18" s="3" t="inlineStr">
        <is>
          <t>커피량(L)</t>
        </is>
      </c>
      <c r="E18" s="3" t="inlineStr">
        <is>
          <t>원두 g/ml</t>
        </is>
      </c>
      <c r="F18" s="3" t="inlineStr">
        <is>
          <t>시음 원두(kg)</t>
        </is>
      </c>
      <c r="G18" s="3" t="inlineStr">
        <is>
          <t>여유 포함(kg)</t>
        </is>
      </c>
      <c r="H18" s="3" t="inlineStr">
        <is>
          <t>진열 샘플(kg)</t>
        </is>
      </c>
      <c r="I18" s="3" t="inlineStr">
        <is>
          <t>볶은 원두 합계(kg)</t>
        </is>
      </c>
      <c r="J18" s="3" t="inlineStr">
        <is>
          <t>생두(kg)</t>
        </is>
      </c>
    </row>
    <row r="19">
      <c r="A19" t="inlineStr">
        <is>
          <t>코스모스</t>
        </is>
      </c>
      <c r="B19" t="inlineStr">
        <is>
          <t>블랙 약 40℃</t>
        </is>
      </c>
      <c r="C19" s="4">
        <f>$B$4*$B$5/4</f>
        <v/>
      </c>
      <c r="D19" s="4">
        <f>C19*$B$6/1000</f>
        <v/>
      </c>
      <c r="E19" s="4">
        <f>1/($B$7-$B$8)</f>
        <v/>
      </c>
      <c r="F19" s="4">
        <f>D19*1000*E19/1000</f>
        <v/>
      </c>
      <c r="G19" s="4">
        <f>F19*(1+$B$12)</f>
        <v/>
      </c>
      <c r="H19" s="4">
        <f>$B$13</f>
        <v/>
      </c>
      <c r="I19" s="4">
        <f>G19+H19</f>
        <v/>
      </c>
      <c r="J19" s="4">
        <f>I19/(1-$B$14)</f>
        <v/>
      </c>
    </row>
    <row r="20">
      <c r="A20" t="inlineStr">
        <is>
          <t>허벌 블렌드</t>
        </is>
      </c>
      <c r="B20" t="inlineStr">
        <is>
          <t>블랙 약 40℃</t>
        </is>
      </c>
      <c r="C20" s="4">
        <f>$B$4*$B$5/4</f>
        <v/>
      </c>
      <c r="D20" s="4">
        <f>C20*$B$6/1000</f>
        <v/>
      </c>
      <c r="E20" s="4">
        <f>1/($B$7-$B$8)</f>
        <v/>
      </c>
      <c r="F20" s="4">
        <f>D20*1000*E20/1000</f>
        <v/>
      </c>
      <c r="G20" s="4">
        <f>F20*(1+$B$12)</f>
        <v/>
      </c>
      <c r="H20" s="4">
        <f>$B$13</f>
        <v/>
      </c>
      <c r="I20" s="4">
        <f>G20+H20</f>
        <v/>
      </c>
      <c r="J20" s="4">
        <f>I20/(1-$B$14)</f>
        <v/>
      </c>
    </row>
    <row r="21">
      <c r="A21" t="inlineStr">
        <is>
          <t>구수</t>
        </is>
      </c>
      <c r="B21" t="inlineStr">
        <is>
          <t>라떼(차갑게)</t>
        </is>
      </c>
      <c r="C21" s="4">
        <f>$B$4*$B$5/4</f>
        <v/>
      </c>
      <c r="D21" s="4">
        <f>C21*$B$6/1000</f>
        <v/>
      </c>
      <c r="E21" s="4">
        <f>$B$9/$B$10</f>
        <v/>
      </c>
      <c r="F21" s="4">
        <f>D21*1000*E21/1000</f>
        <v/>
      </c>
      <c r="G21" s="4">
        <f>F21*(1+$B$12)</f>
        <v/>
      </c>
      <c r="H21" s="4">
        <f>$B$13</f>
        <v/>
      </c>
      <c r="I21" s="4">
        <f>G21+H21</f>
        <v/>
      </c>
      <c r="J21" s="4">
        <f>I21/(1-$B$14)</f>
        <v/>
      </c>
    </row>
    <row r="22">
      <c r="A22" t="inlineStr">
        <is>
          <t>보통</t>
        </is>
      </c>
      <c r="B22" t="inlineStr">
        <is>
          <t>블랙 약 40℃</t>
        </is>
      </c>
      <c r="C22" s="4">
        <f>$B$4*$B$5/4</f>
        <v/>
      </c>
      <c r="D22" s="4">
        <f>C22*$B$6/1000</f>
        <v/>
      </c>
      <c r="E22" s="4">
        <f>1/($B$7-$B$8)</f>
        <v/>
      </c>
      <c r="F22" s="4">
        <f>D22*1000*E22/1000</f>
        <v/>
      </c>
      <c r="G22" s="4">
        <f>F22*(1+$B$12)</f>
        <v/>
      </c>
      <c r="H22" s="4">
        <f>$B$13</f>
        <v/>
      </c>
      <c r="I22" s="4">
        <f>G22+H22</f>
        <v/>
      </c>
      <c r="J22" s="4">
        <f>I22/(1-$B$14)</f>
        <v/>
      </c>
    </row>
    <row r="23">
      <c r="A23" s="3" t="inlineStr">
        <is>
          <t>합계</t>
        </is>
      </c>
      <c r="C23" s="4">
        <f>SUM(C19:C22)</f>
        <v/>
      </c>
      <c r="D23" s="4">
        <f>SUM(D19:D22)</f>
        <v/>
      </c>
      <c r="F23" s="4">
        <f>SUM(F19:F22)</f>
        <v/>
      </c>
      <c r="G23" s="4">
        <f>SUM(G19:G22)</f>
        <v/>
      </c>
      <c r="H23" s="4">
        <f>SUM(H19:H22)</f>
        <v/>
      </c>
      <c r="I23" s="4">
        <f>SUM(I19:I22)</f>
        <v/>
      </c>
      <c r="J23" s="4">
        <f>SUM(J19:J22)</f>
        <v/>
      </c>
    </row>
    <row r="24"/>
    <row r="25">
      <c r="A25" s="3" t="inlineStr">
        <is>
          <t>허벌 생두 나누기</t>
        </is>
      </c>
    </row>
    <row r="26">
      <c r="A26" t="inlineStr">
        <is>
          <t>라 에스메랄다 게이샤 생두(kg)</t>
        </is>
      </c>
      <c r="B26" s="4">
        <f>J20*$B$15</f>
        <v/>
      </c>
    </row>
    <row r="27">
      <c r="A27" t="inlineStr">
        <is>
          <t>엘 포르베니르 카투라 생두(kg)</t>
        </is>
      </c>
      <c r="B27" s="4">
        <f>J20*(1-$B$15)</f>
        <v/>
      </c>
    </row>
    <row r="28"/>
    <row r="29">
      <c r="A29" s="3" t="inlineStr">
        <is>
          <t>구수 라떼 우유</t>
        </is>
      </c>
    </row>
    <row r="30">
      <c r="A30" t="inlineStr">
        <is>
          <t>4일 우유(L, 여유 포함)</t>
        </is>
      </c>
      <c r="B30" s="4">
        <f>D21*$B$11/$B$10*(1+$B$12)</f>
        <v/>
      </c>
    </row>
    <row r="31">
      <c r="A31" t="inlineStr">
        <is>
          <t>하루 평균(L)</t>
        </is>
      </c>
      <c r="B31" s="4">
        <f>B30/4</f>
        <v/>
      </c>
    </row>
    <row r="32">
      <c r="A32" t="inlineStr">
        <is>
          <t>GSC 협찬 우유로 현장에서 받아 씀(대표 10/28). 설탕은 레시피 확정 후 추가.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2026-10-28T13:10:32Z</dcterms:created>
  <dcterms:modified xmlns:dcterms="http://purl.org/dc/terms/" xmlns:xsi="http://www.w3.org/2001/XMLSchema-instance" xsi:type="dcterms:W3CDTF">2026-10-28T13:10:32Z</dcterms:modified>
</cp:coreProperties>
</file>