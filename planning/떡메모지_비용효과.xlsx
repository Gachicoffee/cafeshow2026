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가 비교" sheetId="1" state="visible" r:id="rId1"/>
    <sheet xmlns:r="http://schemas.openxmlformats.org/officeDocument/2006/relationships" name="효과 계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;@"/>
    <numFmt numFmtId="165" formatCode="#,##0.0"/>
    <numFmt numFmtId="166" formatCode="0.0%"/>
  </numFmts>
  <fonts count="6">
    <font>
      <name val="Calibri"/>
      <family val="2"/>
      <color theme="1"/>
      <sz val="11"/>
      <scheme val="minor"/>
    </font>
    <font>
      <name val="Pretendard"/>
      <b val="1"/>
      <sz val="13"/>
    </font>
    <font>
      <name val="Pretendard"/>
      <color rgb="005B5B58"/>
      <sz val="9"/>
    </font>
    <font>
      <name val="Pretendard"/>
      <b val="1"/>
      <sz val="10"/>
    </font>
    <font>
      <name val="Pretendard"/>
      <sz val="10"/>
    </font>
    <font>
      <name val="Pretendard"/>
      <sz val="9"/>
    </font>
  </fonts>
  <fills count="4">
    <fill>
      <patternFill/>
    </fill>
    <fill>
      <patternFill patternType="gray125"/>
    </fill>
    <fill>
      <patternFill patternType="solid">
        <fgColor rgb="00E8E6D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C9C8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3" fontId="4" fillId="0" borderId="1" applyAlignment="1" pivotButton="0" quotePrefix="0" xfId="0">
      <alignment vertical="center" wrapText="1"/>
    </xf>
    <xf numFmtId="3" fontId="4" fillId="3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떡메모지 단가 비교 (성원애드피아, 100×140mm, 모조지 120g, 1도 단면, 떡제본)</t>
        </is>
      </c>
    </row>
    <row r="2">
      <c r="A2" s="2" t="inlineStr">
        <is>
          <t>노란 칸은 사이트 견적 계산기에서 확인한 결제금액(부가세 포함)을 넣으면 권당·장당 단가가 계산됩니다.</t>
        </is>
      </c>
    </row>
    <row r="4">
      <c r="A4" s="3" t="inlineStr">
        <is>
          <t>구분</t>
        </is>
      </c>
      <c r="B4" s="3" t="inlineStr">
        <is>
          <t>권 수</t>
        </is>
      </c>
      <c r="C4" s="3" t="inlineStr">
        <is>
          <t>1권 매수</t>
        </is>
      </c>
      <c r="D4" s="3" t="inlineStr">
        <is>
          <t>결제금액(원, VAT 포함)</t>
        </is>
      </c>
      <c r="E4" s="3" t="inlineStr">
        <is>
          <t>권당(원)</t>
        </is>
      </c>
      <c r="F4" s="3" t="inlineStr">
        <is>
          <t>장당(원)</t>
        </is>
      </c>
      <c r="G4" s="3" t="inlineStr">
        <is>
          <t>근거·메모</t>
        </is>
      </c>
    </row>
    <row r="5">
      <c r="A5" s="4" t="inlineStr">
        <is>
          <t>지난 주문 (2025-09-04)</t>
        </is>
      </c>
      <c r="B5" s="4" t="n"/>
      <c r="C5" s="4" t="n"/>
      <c r="D5" s="5" t="n">
        <v>579810</v>
      </c>
      <c r="E5" s="6">
        <f>F5*100</f>
        <v/>
      </c>
      <c r="F5" s="6">
        <f>D5/50000</f>
        <v/>
      </c>
      <c r="G5" s="4" t="inlineStr">
        <is>
          <t>총 50,000매·2건. 권당은 100매 1권으로 환산(추정). 배송료 58,500원 별도 표시</t>
        </is>
      </c>
    </row>
    <row r="6">
      <c r="A6" s="4" t="inlineStr">
        <is>
          <t>오늘 견적 (10/21 캡처)</t>
        </is>
      </c>
      <c r="B6" s="4" t="n">
        <v>10</v>
      </c>
      <c r="C6" s="4" t="n">
        <v>100</v>
      </c>
      <c r="D6" s="5" t="n">
        <v>46750</v>
      </c>
      <c r="E6" s="6">
        <f>IF(D6="","",D6/B6)</f>
        <v/>
      </c>
      <c r="F6" s="6">
        <f>IF(D6="","",D6/(B6*C6))</f>
        <v/>
      </c>
      <c r="G6" s="4" t="inlineStr">
        <is>
          <t>1,000매 = 100매×10권, 공급가 42,500 + VAT 4,250</t>
        </is>
      </c>
    </row>
    <row r="7">
      <c r="A7" s="4" t="inlineStr">
        <is>
          <t>견적 입력: 100권</t>
        </is>
      </c>
      <c r="B7" s="4" t="n">
        <v>100</v>
      </c>
      <c r="C7" s="4" t="n">
        <v>100</v>
      </c>
      <c r="D7" s="7" t="n"/>
      <c r="E7" s="6">
        <f>IF(D7="","",D7/B7)</f>
        <v/>
      </c>
      <c r="F7" s="6">
        <f>IF(D7="","",D7/(B7*C7))</f>
        <v/>
      </c>
      <c r="G7" s="4" t="inlineStr">
        <is>
          <t>사이트에서 확인 후 입력</t>
        </is>
      </c>
    </row>
    <row r="8">
      <c r="A8" s="4" t="inlineStr">
        <is>
          <t>견적 입력: 300권</t>
        </is>
      </c>
      <c r="B8" s="4" t="n">
        <v>300</v>
      </c>
      <c r="C8" s="4" t="n">
        <v>100</v>
      </c>
      <c r="D8" s="7" t="n"/>
      <c r="E8" s="6">
        <f>IF(D8="","",D8/B8)</f>
        <v/>
      </c>
      <c r="F8" s="6">
        <f>IF(D8="","",D8/(B8*C8))</f>
        <v/>
      </c>
      <c r="G8" s="4" t="inlineStr">
        <is>
          <t>사이트에서 확인 후 입력</t>
        </is>
      </c>
    </row>
    <row r="9">
      <c r="A9" s="4" t="inlineStr">
        <is>
          <t>견적 입력: 500권</t>
        </is>
      </c>
      <c r="B9" s="4" t="n">
        <v>500</v>
      </c>
      <c r="C9" s="4" t="n">
        <v>100</v>
      </c>
      <c r="D9" s="7" t="n"/>
      <c r="E9" s="6">
        <f>IF(D9="","",D9/B9)</f>
        <v/>
      </c>
      <c r="F9" s="6">
        <f>IF(D9="","",D9/(B9*C9))</f>
        <v/>
      </c>
      <c r="G9" s="4" t="inlineStr">
        <is>
          <t>사이트에서 확인 후 입력</t>
        </is>
      </c>
    </row>
    <row r="11">
      <c r="A11" s="8" t="inlineStr">
        <is>
          <t>읽는 법: 수량이 많을수록 권당 단가가 크게 내려갑니다(10권 4,675원/권 vs 지난 대량 주문 환산 약 1,160원/권). 남은 권은 매장·온라인 주문 덤으로 쓰도록 디자인에 날짜를 넣지 않습니다.</t>
        </is>
      </c>
    </row>
    <row r="12"/>
  </sheetData>
  <mergeCells count="1">
    <mergeCell ref="A11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4" customWidth="1" min="3" max="3"/>
  </cols>
  <sheetData>
    <row r="1">
      <c r="A1" s="1" t="inlineStr">
        <is>
          <t>회원가입 덤 떡메모지 — 비용·효과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근거</t>
        </is>
      </c>
    </row>
    <row r="4">
      <c r="A4" s="4" t="inlineStr">
        <is>
          <t>4일 최대 체험 인원(명)</t>
        </is>
      </c>
      <c r="B4" s="9" t="n">
        <v>900</v>
      </c>
      <c r="C4" s="4" t="inlineStr">
        <is>
          <t>planning/처리량_계산.xlsx (줄이 계속 있다는 가정의 최대치)</t>
        </is>
      </c>
    </row>
    <row r="5">
      <c r="A5" s="4" t="inlineStr">
        <is>
          <t>회원가입 전환율(%)</t>
        </is>
      </c>
      <c r="B5" s="10" t="n"/>
      <c r="C5" s="4" t="inlineStr">
        <is>
          <t>자료 없음 — 직접 입력. 예: 20, 30</t>
        </is>
      </c>
    </row>
    <row r="6">
      <c r="A6" s="4" t="inlineStr">
        <is>
          <t>예상 회원가입(명) = 떡메모지 권 수</t>
        </is>
      </c>
      <c r="B6" s="9">
        <f>IF(B5="","",ROUND(B4*B5/100,0))</f>
        <v/>
      </c>
      <c r="C6" s="4" t="inlineStr">
        <is>
          <t>체험 인원 × 전환율</t>
        </is>
      </c>
    </row>
    <row r="7">
      <c r="A7" s="4" t="inlineStr">
        <is>
          <t>주문할 권 수</t>
        </is>
      </c>
      <c r="B7" s="10" t="n"/>
      <c r="C7" s="4" t="inlineStr">
        <is>
          <t>직접 입력(예상 가입 수 + 여유분)</t>
        </is>
      </c>
    </row>
    <row r="8">
      <c r="A8" s="4" t="inlineStr">
        <is>
          <t>권당 단가(원, VAT 포함)</t>
        </is>
      </c>
      <c r="B8" s="10" t="n"/>
      <c r="C8" s="4" t="inlineStr">
        <is>
          <t>'단가 비교' 시트의 해당 수량 권당 값</t>
        </is>
      </c>
    </row>
    <row r="9">
      <c r="A9" s="4" t="inlineStr">
        <is>
          <t>떡메모지 총비용(원)</t>
        </is>
      </c>
      <c r="B9" s="9">
        <f>IF(OR(B7="",B8=""),"",B7*B8)</f>
        <v/>
      </c>
      <c r="C9" s="4" t="inlineStr">
        <is>
          <t>권 수 × 권당 단가 (배송비 별도)</t>
        </is>
      </c>
    </row>
    <row r="10">
      <c r="A10" s="4" t="inlineStr">
        <is>
          <t>회원 1명 얻는 비용(원)</t>
        </is>
      </c>
      <c r="B10" s="9">
        <f>IF(OR(B9="",B6="",B6=0),"",B9/B6)</f>
        <v/>
      </c>
      <c r="C10" s="4" t="inlineStr">
        <is>
          <t>총비용 ÷ 예상 가입. 남은 권은 매장에서 계속 씀</t>
        </is>
      </c>
    </row>
    <row r="11">
      <c r="A11" s="4" t="inlineStr">
        <is>
          <t>시음 낱장(전원 1장)용 권 수</t>
        </is>
      </c>
      <c r="B11" s="9">
        <f>ROUNDUP(B4/100,0)</f>
        <v/>
      </c>
      <c r="C11" s="4" t="inlineStr">
        <is>
          <t>체험 인원 ÷ 100매. 패드에서 뜯어 1장씩</t>
        </is>
      </c>
    </row>
    <row r="12">
      <c r="A12" s="4" t="inlineStr">
        <is>
          <t>예산 남은 것(원, 10/21 시트 기준)</t>
        </is>
      </c>
      <c r="B12" s="9" t="n">
        <v>1051493</v>
      </c>
      <c r="C12" s="4" t="inlineStr">
        <is>
          <t>200만원 − 비용 탭 총합계 948,507원(미주문·0원 항목 포함)</t>
        </is>
      </c>
    </row>
    <row r="13">
      <c r="A13" s="4" t="inlineStr">
        <is>
          <t>떡메모지가 남은 예산에서 차지하는 비율</t>
        </is>
      </c>
      <c r="B13" s="11">
        <f>IF(B9="","",B9/B12)</f>
        <v/>
      </c>
      <c r="C13" s="4" t="inlineStr">
        <is>
          <t>포장(박스·보자기)·시음컵 원가가 아직 0원이라 실제 남은 예산은 더 적음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2026-10-21T01:04:31Z</dcterms:created>
  <dcterms:modified xmlns:dcterms="http://purl.org/dc/terms/" xmlns:xsi="http://www.w3.org/2001/XMLSchema-instance" xsi:type="dcterms:W3CDTF">2026-10-21T01:04:31Z</dcterms:modified>
</cp:coreProperties>
</file>