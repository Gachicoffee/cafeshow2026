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처리량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<sst xmlns="http://schemas.openxmlformats.org/spreadsheetml/2006/main" count="47" uniqueCount="42">
  <si>
    <r>
      <rPr>
        <b val="true"/>
        <sz val="14"/>
        <rFont val="WenQuanYi Zen Hei"/>
        <family val="2"/>
      </rPr>
      <t xml:space="preserve">카페쇼 소반 </t>
    </r>
    <r>
      <rPr>
        <b val="true"/>
        <sz val="14"/>
        <rFont val="Pretendard"/>
        <family val="0"/>
        <charset val="1"/>
      </rPr>
      <t xml:space="preserve">4</t>
    </r>
    <r>
      <rPr>
        <b val="true"/>
        <sz val="14"/>
        <rFont val="WenQuanYi Zen Hei"/>
        <family val="2"/>
      </rPr>
      <t xml:space="preserve">상 처리량 계산 </t>
    </r>
    <r>
      <rPr>
        <b val="true"/>
        <sz val="14"/>
        <rFont val="Pretendard"/>
        <family val="0"/>
        <charset val="1"/>
      </rPr>
      <t xml:space="preserve">(2026-10-06)</t>
    </r>
  </si>
  <si>
    <r>
      <rPr>
        <sz val="11"/>
        <color rgb="FF666666"/>
        <rFont val="WenQuanYi Zen Hei"/>
        <family val="2"/>
      </rPr>
      <t xml:space="preserve">노란 칸</t>
    </r>
    <r>
      <rPr>
        <sz val="11"/>
        <color rgb="FF666666"/>
        <rFont val="Pretendard"/>
        <family val="0"/>
        <charset val="1"/>
      </rPr>
      <t xml:space="preserve">(</t>
    </r>
    <r>
      <rPr>
        <sz val="11"/>
        <color rgb="FF666666"/>
        <rFont val="WenQuanYi Zen Hei"/>
        <family val="2"/>
      </rPr>
      <t xml:space="preserve">파란 글씨</t>
    </r>
    <r>
      <rPr>
        <sz val="11"/>
        <color rgb="FF666666"/>
        <rFont val="Pretendard"/>
        <family val="0"/>
        <charset val="1"/>
      </rPr>
      <t xml:space="preserve">)</t>
    </r>
    <r>
      <rPr>
        <sz val="11"/>
        <color rgb="FF666666"/>
        <rFont val="WenQuanYi Zen Hei"/>
        <family val="2"/>
      </rPr>
      <t xml:space="preserve">만 바꾸면 아래가 다시 계산돼요</t>
    </r>
    <r>
      <rPr>
        <sz val="11"/>
        <color rgb="FF666666"/>
        <rFont val="Pretendard"/>
        <family val="0"/>
        <charset val="1"/>
      </rPr>
      <t xml:space="preserve">.</t>
    </r>
  </si>
  <si>
    <t xml:space="preserve">입력값</t>
  </si>
  <si>
    <r>
      <rPr>
        <sz val="11"/>
        <rFont val="WenQuanYi Zen Hei"/>
        <family val="2"/>
      </rPr>
      <t xml:space="preserve">좌석 수</t>
    </r>
    <r>
      <rPr>
        <sz val="11"/>
        <rFont val="Pretendard"/>
        <family val="0"/>
        <charset val="1"/>
      </rPr>
      <t xml:space="preserve">(</t>
    </r>
    <r>
      <rPr>
        <sz val="11"/>
        <rFont val="WenQuanYi Zen Hei"/>
        <family val="2"/>
      </rPr>
      <t xml:space="preserve">한 회차</t>
    </r>
    <r>
      <rPr>
        <sz val="11"/>
        <rFont val="Pretendard"/>
        <family val="0"/>
        <charset val="1"/>
      </rPr>
      <t xml:space="preserve">)</t>
    </r>
  </si>
  <si>
    <t xml:space="preserve">명</t>
  </si>
  <si>
    <r>
      <rPr>
        <sz val="11"/>
        <color rgb="FF666666"/>
        <rFont val="WenQuanYi Zen Hei"/>
        <family val="2"/>
      </rPr>
      <t xml:space="preserve">대표님 </t>
    </r>
    <r>
      <rPr>
        <sz val="11"/>
        <color rgb="FF666666"/>
        <rFont val="Pretendard"/>
        <family val="0"/>
        <charset val="1"/>
      </rPr>
      <t xml:space="preserve">10/6</t>
    </r>
  </si>
  <si>
    <r>
      <rPr>
        <sz val="11"/>
        <rFont val="WenQuanYi Zen Hei"/>
        <family val="2"/>
      </rPr>
      <t xml:space="preserve">설명</t>
    </r>
    <r>
      <rPr>
        <sz val="11"/>
        <rFont val="Pretendard"/>
        <family val="0"/>
        <charset val="1"/>
      </rPr>
      <t xml:space="preserve">(</t>
    </r>
    <r>
      <rPr>
        <sz val="11"/>
        <rFont val="WenQuanYi Zen Hei"/>
        <family val="2"/>
      </rPr>
      <t xml:space="preserve">프레젠테이션</t>
    </r>
    <r>
      <rPr>
        <sz val="11"/>
        <rFont val="Pretendard"/>
        <family val="0"/>
        <charset val="1"/>
      </rPr>
      <t xml:space="preserve">) </t>
    </r>
    <r>
      <rPr>
        <sz val="11"/>
        <rFont val="WenQuanYi Zen Hei"/>
        <family val="2"/>
      </rPr>
      <t xml:space="preserve">시간</t>
    </r>
  </si>
  <si>
    <t xml:space="preserve">분</t>
  </si>
  <si>
    <r>
      <rPr>
        <sz val="11"/>
        <color rgb="FF666666"/>
        <rFont val="WenQuanYi Zen Hei"/>
        <family val="2"/>
      </rPr>
      <t xml:space="preserve">대표님 </t>
    </r>
    <r>
      <rPr>
        <sz val="11"/>
        <color rgb="FF666666"/>
        <rFont val="Pretendard"/>
        <family val="0"/>
        <charset val="1"/>
      </rPr>
      <t xml:space="preserve">10/6 </t>
    </r>
    <r>
      <rPr>
        <sz val="11"/>
        <color rgb="FF666666"/>
        <rFont val="WenQuanYi Zen Hei"/>
        <family val="2"/>
      </rPr>
      <t xml:space="preserve">예상</t>
    </r>
  </si>
  <si>
    <r>
      <rPr>
        <sz val="11"/>
        <rFont val="WenQuanYi Zen Hei"/>
        <family val="2"/>
      </rPr>
      <t xml:space="preserve">교대 시간</t>
    </r>
    <r>
      <rPr>
        <sz val="11"/>
        <rFont val="Pretendard"/>
        <family val="0"/>
        <charset val="1"/>
      </rPr>
      <t xml:space="preserve">(</t>
    </r>
    <r>
      <rPr>
        <sz val="11"/>
        <rFont val="WenQuanYi Zen Hei"/>
        <family val="2"/>
      </rPr>
      <t xml:space="preserve">퇴장</t>
    </r>
    <r>
      <rPr>
        <sz val="11"/>
        <rFont val="Pretendard"/>
        <family val="0"/>
        <charset val="1"/>
      </rPr>
      <t xml:space="preserve">·</t>
    </r>
    <r>
      <rPr>
        <sz val="11"/>
        <rFont val="WenQuanYi Zen Hei"/>
        <family val="2"/>
      </rPr>
      <t xml:space="preserve">덮개 재세팅</t>
    </r>
    <r>
      <rPr>
        <sz val="11"/>
        <rFont val="Pretendard"/>
        <family val="0"/>
        <charset val="1"/>
      </rPr>
      <t xml:space="preserve">·</t>
    </r>
    <r>
      <rPr>
        <sz val="11"/>
        <rFont val="WenQuanYi Zen Hei"/>
        <family val="2"/>
      </rPr>
      <t xml:space="preserve">착석</t>
    </r>
    <r>
      <rPr>
        <sz val="11"/>
        <rFont val="Pretendard"/>
        <family val="0"/>
        <charset val="1"/>
      </rPr>
      <t xml:space="preserve">)</t>
    </r>
  </si>
  <si>
    <r>
      <rPr>
        <sz val="11"/>
        <color rgb="FF666666"/>
        <rFont val="WenQuanYi Zen Hei"/>
        <family val="2"/>
      </rPr>
      <t xml:space="preserve">추정</t>
    </r>
    <r>
      <rPr>
        <sz val="11"/>
        <color rgb="FF666666"/>
        <rFont val="Pretendard"/>
        <family val="0"/>
        <charset val="1"/>
      </rPr>
      <t xml:space="preserve">: </t>
    </r>
    <r>
      <rPr>
        <sz val="11"/>
        <color rgb="FF666666"/>
        <rFont val="WenQuanYi Zen Hei"/>
        <family val="2"/>
      </rPr>
      <t xml:space="preserve">리허설</t>
    </r>
    <r>
      <rPr>
        <sz val="11"/>
        <color rgb="FF666666"/>
        <rFont val="Pretendard"/>
        <family val="0"/>
        <charset val="1"/>
      </rPr>
      <t xml:space="preserve">(11/3~7)</t>
    </r>
    <r>
      <rPr>
        <sz val="11"/>
        <color rgb="FF666666"/>
        <rFont val="WenQuanYi Zen Hei"/>
        <family val="2"/>
      </rPr>
      <t xml:space="preserve">에서 재서 고치기</t>
    </r>
  </si>
  <si>
    <t xml:space="preserve">좌석 채움률</t>
  </si>
  <si>
    <r>
      <rPr>
        <sz val="11"/>
        <color rgb="FF666666"/>
        <rFont val="WenQuanYi Zen Hei"/>
        <family val="2"/>
      </rPr>
      <t xml:space="preserve">줄이 계속 있다고 가정</t>
    </r>
    <r>
      <rPr>
        <sz val="11"/>
        <color rgb="FF666666"/>
        <rFont val="Pretendard"/>
        <family val="0"/>
        <charset val="1"/>
      </rPr>
      <t xml:space="preserve">(100%). </t>
    </r>
    <r>
      <rPr>
        <sz val="11"/>
        <color rgb="FF666666"/>
        <rFont val="WenQuanYi Zen Hei"/>
        <family val="2"/>
      </rPr>
      <t xml:space="preserve">줄이 끊기면 낮추기</t>
    </r>
  </si>
  <si>
    <r>
      <rPr>
        <sz val="11"/>
        <rFont val="Pretendard"/>
        <family val="0"/>
        <charset val="1"/>
      </rPr>
      <t xml:space="preserve">1</t>
    </r>
    <r>
      <rPr>
        <sz val="11"/>
        <rFont val="WenQuanYi Zen Hei"/>
        <family val="2"/>
      </rPr>
      <t xml:space="preserve">인당 잔 수</t>
    </r>
  </si>
  <si>
    <t xml:space="preserve">잔</t>
  </si>
  <si>
    <r>
      <rPr>
        <sz val="11"/>
        <color rgb="FF666666"/>
        <rFont val="WenQuanYi Zen Hei"/>
        <family val="2"/>
      </rPr>
      <t xml:space="preserve">소반 </t>
    </r>
    <r>
      <rPr>
        <sz val="11"/>
        <color rgb="FF666666"/>
        <rFont val="Pretendard"/>
        <family val="0"/>
        <charset val="1"/>
      </rPr>
      <t xml:space="preserve">4</t>
    </r>
    <r>
      <rPr>
        <sz val="11"/>
        <color rgb="FF666666"/>
        <rFont val="WenQuanYi Zen Hei"/>
        <family val="2"/>
      </rPr>
      <t xml:space="preserve">상</t>
    </r>
    <r>
      <rPr>
        <sz val="11"/>
        <color rgb="FF666666"/>
        <rFont val="Pretendard"/>
        <family val="0"/>
        <charset val="1"/>
      </rPr>
      <t xml:space="preserve">(</t>
    </r>
    <r>
      <rPr>
        <sz val="11"/>
        <color rgb="FF666666"/>
        <rFont val="WenQuanYi Zen Hei"/>
        <family val="2"/>
      </rPr>
      <t xml:space="preserve">구수</t>
    </r>
    <r>
      <rPr>
        <sz val="11"/>
        <color rgb="FF666666"/>
        <rFont val="Pretendard"/>
        <family val="0"/>
        <charset val="1"/>
      </rPr>
      <t xml:space="preserve">·</t>
    </r>
    <r>
      <rPr>
        <sz val="11"/>
        <color rgb="FF666666"/>
        <rFont val="WenQuanYi Zen Hei"/>
        <family val="2"/>
      </rPr>
      <t xml:space="preserve">코스모스</t>
    </r>
    <r>
      <rPr>
        <sz val="11"/>
        <color rgb="FF666666"/>
        <rFont val="Pretendard"/>
        <family val="0"/>
        <charset val="1"/>
      </rPr>
      <t xml:space="preserve">·</t>
    </r>
    <r>
      <rPr>
        <sz val="11"/>
        <color rgb="FF666666"/>
        <rFont val="WenQuanYi Zen Hei"/>
        <family val="2"/>
      </rPr>
      <t xml:space="preserve">보통</t>
    </r>
    <r>
      <rPr>
        <sz val="11"/>
        <color rgb="FF666666"/>
        <rFont val="Pretendard"/>
        <family val="0"/>
        <charset val="1"/>
      </rPr>
      <t xml:space="preserve">·</t>
    </r>
    <r>
      <rPr>
        <sz val="11"/>
        <color rgb="FF666666"/>
        <rFont val="WenQuanYi Zen Hei"/>
        <family val="2"/>
      </rPr>
      <t xml:space="preserve">허벌</t>
    </r>
    <r>
      <rPr>
        <sz val="11"/>
        <color rgb="FF666666"/>
        <rFont val="Pretendard"/>
        <family val="0"/>
        <charset val="1"/>
      </rPr>
      <t xml:space="preserve">)</t>
    </r>
  </si>
  <si>
    <t xml:space="preserve">리필 받는 비율</t>
  </si>
  <si>
    <r>
      <rPr>
        <sz val="11"/>
        <color rgb="FF666666"/>
        <rFont val="WenQuanYi Zen Hei"/>
        <family val="2"/>
      </rPr>
      <t xml:space="preserve">추정</t>
    </r>
    <r>
      <rPr>
        <sz val="11"/>
        <color rgb="FF666666"/>
        <rFont val="Pretendard"/>
        <family val="0"/>
        <charset val="1"/>
      </rPr>
      <t xml:space="preserve">: 4</t>
    </r>
    <r>
      <rPr>
        <sz val="11"/>
        <color rgb="FF666666"/>
        <rFont val="WenQuanYi Zen Hei"/>
        <family val="2"/>
      </rPr>
      <t xml:space="preserve">종 중 </t>
    </r>
    <r>
      <rPr>
        <sz val="11"/>
        <color rgb="FF666666"/>
        <rFont val="Pretendard"/>
        <family val="0"/>
        <charset val="1"/>
      </rPr>
      <t xml:space="preserve">1</t>
    </r>
    <r>
      <rPr>
        <sz val="11"/>
        <color rgb="FF666666"/>
        <rFont val="WenQuanYi Zen Hei"/>
        <family val="2"/>
      </rPr>
      <t xml:space="preserve">회 리필</t>
    </r>
    <r>
      <rPr>
        <sz val="11"/>
        <color rgb="FF666666"/>
        <rFont val="Pretendard"/>
        <family val="0"/>
        <charset val="1"/>
      </rPr>
      <t xml:space="preserve">, 30%</t>
    </r>
    <r>
      <rPr>
        <sz val="11"/>
        <color rgb="FF666666"/>
        <rFont val="WenQuanYi Zen Hei"/>
        <family val="2"/>
      </rPr>
      <t xml:space="preserve">가 받는다고 가정</t>
    </r>
  </si>
  <si>
    <r>
      <rPr>
        <sz val="11"/>
        <rFont val="Pretendard"/>
        <family val="0"/>
        <charset val="1"/>
      </rPr>
      <t xml:space="preserve">1</t>
    </r>
    <r>
      <rPr>
        <sz val="11"/>
        <rFont val="WenQuanYi Zen Hei"/>
        <family val="2"/>
      </rPr>
      <t xml:space="preserve">잔 양</t>
    </r>
  </si>
  <si>
    <t xml:space="preserve">ml</t>
  </si>
  <si>
    <r>
      <rPr>
        <sz val="11"/>
        <color rgb="FF666666"/>
        <rFont val="WenQuanYi Zen Hei"/>
        <family val="2"/>
      </rPr>
      <t xml:space="preserve">추정</t>
    </r>
    <r>
      <rPr>
        <sz val="11"/>
        <color rgb="FF666666"/>
        <rFont val="Pretendard"/>
        <family val="0"/>
        <charset val="1"/>
      </rPr>
      <t xml:space="preserve">: </t>
    </r>
    <r>
      <rPr>
        <sz val="11"/>
        <color rgb="FF666666"/>
        <rFont val="WenQuanYi Zen Hei"/>
        <family val="2"/>
      </rPr>
      <t xml:space="preserve">기존 기획 </t>
    </r>
    <r>
      <rPr>
        <sz val="11"/>
        <color rgb="FF666666"/>
        <rFont val="Pretendard"/>
        <family val="0"/>
        <charset val="1"/>
      </rPr>
      <t xml:space="preserve">1oz </t>
    </r>
    <r>
      <rPr>
        <sz val="11"/>
        <color rgb="FF666666"/>
        <rFont val="WenQuanYi Zen Hei"/>
        <family val="2"/>
      </rPr>
      <t xml:space="preserve">기준</t>
    </r>
  </si>
  <si>
    <t xml:space="preserve">한 회차 시간</t>
  </si>
  <si>
    <r>
      <rPr>
        <sz val="11"/>
        <rFont val="Pretendard"/>
        <family val="0"/>
        <charset val="1"/>
      </rPr>
      <t xml:space="preserve">1</t>
    </r>
    <r>
      <rPr>
        <sz val="11"/>
        <rFont val="WenQuanYi Zen Hei"/>
        <family val="2"/>
      </rPr>
      <t xml:space="preserve">인당 컵 수</t>
    </r>
    <r>
      <rPr>
        <sz val="11"/>
        <rFont val="Pretendard"/>
        <family val="0"/>
        <charset val="1"/>
      </rPr>
      <t xml:space="preserve">(</t>
    </r>
    <r>
      <rPr>
        <sz val="11"/>
        <rFont val="WenQuanYi Zen Hei"/>
        <family val="2"/>
      </rPr>
      <t xml:space="preserve">리필 포함</t>
    </r>
    <r>
      <rPr>
        <sz val="11"/>
        <rFont val="Pretendard"/>
        <family val="0"/>
        <charset val="1"/>
      </rPr>
      <t xml:space="preserve">)</t>
    </r>
  </si>
  <si>
    <t xml:space="preserve">개</t>
  </si>
  <si>
    <t xml:space="preserve">날짜</t>
  </si>
  <si>
    <r>
      <rPr>
        <b val="true"/>
        <sz val="11"/>
        <rFont val="WenQuanYi Zen Hei"/>
        <family val="2"/>
      </rPr>
      <t xml:space="preserve">운영 시간</t>
    </r>
    <r>
      <rPr>
        <b val="true"/>
        <sz val="11"/>
        <rFont val="Pretendard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시간</t>
    </r>
    <r>
      <rPr>
        <b val="true"/>
        <sz val="11"/>
        <rFont val="Pretendard"/>
        <family val="0"/>
        <charset val="1"/>
      </rPr>
      <t xml:space="preserve">)</t>
    </r>
  </si>
  <si>
    <t xml:space="preserve">회차 수</t>
  </si>
  <si>
    <r>
      <rPr>
        <b val="true"/>
        <sz val="11"/>
        <rFont val="WenQuanYi Zen Hei"/>
        <family val="2"/>
      </rPr>
      <t xml:space="preserve">손님 수</t>
    </r>
    <r>
      <rPr>
        <b val="true"/>
        <sz val="11"/>
        <rFont val="Pretendard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명</t>
    </r>
    <r>
      <rPr>
        <b val="true"/>
        <sz val="11"/>
        <rFont val="Pretendard"/>
        <family val="0"/>
        <charset val="1"/>
      </rPr>
      <t xml:space="preserve">)</t>
    </r>
  </si>
  <si>
    <r>
      <rPr>
        <b val="true"/>
        <sz val="11"/>
        <rFont val="WenQuanYi Zen Hei"/>
        <family val="2"/>
      </rPr>
      <t xml:space="preserve">일회용 컵</t>
    </r>
    <r>
      <rPr>
        <b val="true"/>
        <sz val="11"/>
        <rFont val="Pretendard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개</t>
    </r>
    <r>
      <rPr>
        <b val="true"/>
        <sz val="11"/>
        <rFont val="Pretendard"/>
        <family val="0"/>
        <charset val="1"/>
      </rPr>
      <t xml:space="preserve">)</t>
    </r>
  </si>
  <si>
    <r>
      <rPr>
        <b val="true"/>
        <sz val="11"/>
        <rFont val="WenQuanYi Zen Hei"/>
        <family val="2"/>
      </rPr>
      <t xml:space="preserve">커피량</t>
    </r>
    <r>
      <rPr>
        <b val="true"/>
        <sz val="11"/>
        <rFont val="Pretendard"/>
        <family val="0"/>
        <charset val="1"/>
      </rPr>
      <t xml:space="preserve">(L)</t>
    </r>
  </si>
  <si>
    <t xml:space="preserve">근거</t>
  </si>
  <si>
    <r>
      <rPr>
        <sz val="11"/>
        <rFont val="Pretendard"/>
        <family val="0"/>
        <charset val="1"/>
      </rPr>
      <t xml:space="preserve">11/11(</t>
    </r>
    <r>
      <rPr>
        <sz val="11"/>
        <rFont val="WenQuanYi Zen Hei"/>
        <family val="2"/>
      </rPr>
      <t xml:space="preserve">수</t>
    </r>
    <r>
      <rPr>
        <sz val="11"/>
        <rFont val="Pretendard"/>
        <family val="0"/>
        <charset val="1"/>
      </rPr>
      <t xml:space="preserve">)</t>
    </r>
  </si>
  <si>
    <r>
      <rPr>
        <sz val="11"/>
        <color rgb="FF666666"/>
        <rFont val="WenQuanYi Zen Hei"/>
        <family val="2"/>
      </rPr>
      <t xml:space="preserve">행사정보</t>
    </r>
    <r>
      <rPr>
        <sz val="11"/>
        <color rgb="FF666666"/>
        <rFont val="Pretendard"/>
        <family val="0"/>
        <charset val="1"/>
      </rPr>
      <t xml:space="preserve">.md: </t>
    </r>
    <r>
      <rPr>
        <sz val="11"/>
        <color rgb="FF666666"/>
        <rFont val="WenQuanYi Zen Hei"/>
        <family val="2"/>
      </rPr>
      <t xml:space="preserve">관람 </t>
    </r>
    <r>
      <rPr>
        <sz val="11"/>
        <color rgb="FF666666"/>
        <rFont val="Pretendard"/>
        <family val="0"/>
        <charset val="1"/>
      </rPr>
      <t xml:space="preserve">10~18</t>
    </r>
    <r>
      <rPr>
        <sz val="11"/>
        <color rgb="FF666666"/>
        <rFont val="WenQuanYi Zen Hei"/>
        <family val="2"/>
      </rPr>
      <t xml:space="preserve">시</t>
    </r>
    <r>
      <rPr>
        <sz val="11"/>
        <color rgb="FF666666"/>
        <rFont val="Pretendard"/>
        <family val="0"/>
        <charset val="1"/>
      </rPr>
      <t xml:space="preserve">, </t>
    </r>
    <r>
      <rPr>
        <sz val="11"/>
        <color rgb="FF666666"/>
        <rFont val="WenQuanYi Zen Hei"/>
        <family val="2"/>
      </rPr>
      <t xml:space="preserve">토 </t>
    </r>
    <r>
      <rPr>
        <sz val="11"/>
        <color rgb="FF666666"/>
        <rFont val="Pretendard"/>
        <family val="0"/>
        <charset val="1"/>
      </rPr>
      <t xml:space="preserve">16</t>
    </r>
    <r>
      <rPr>
        <sz val="11"/>
        <color rgb="FF666666"/>
        <rFont val="WenQuanYi Zen Hei"/>
        <family val="2"/>
      </rPr>
      <t xml:space="preserve">시 종료</t>
    </r>
  </si>
  <si>
    <r>
      <rPr>
        <sz val="11"/>
        <rFont val="Pretendard"/>
        <family val="0"/>
        <charset val="1"/>
      </rPr>
      <t xml:space="preserve">11/12(</t>
    </r>
    <r>
      <rPr>
        <sz val="11"/>
        <rFont val="WenQuanYi Zen Hei"/>
        <family val="2"/>
      </rPr>
      <t xml:space="preserve">목</t>
    </r>
    <r>
      <rPr>
        <sz val="11"/>
        <rFont val="Pretendard"/>
        <family val="0"/>
        <charset val="1"/>
      </rPr>
      <t xml:space="preserve">)</t>
    </r>
  </si>
  <si>
    <r>
      <rPr>
        <sz val="11"/>
        <rFont val="Pretendard"/>
        <family val="0"/>
        <charset val="1"/>
      </rPr>
      <t xml:space="preserve">11/13(</t>
    </r>
    <r>
      <rPr>
        <sz val="11"/>
        <rFont val="WenQuanYi Zen Hei"/>
        <family val="2"/>
      </rPr>
      <t xml:space="preserve">금</t>
    </r>
    <r>
      <rPr>
        <sz val="11"/>
        <rFont val="Pretendard"/>
        <family val="0"/>
        <charset val="1"/>
      </rPr>
      <t xml:space="preserve">)</t>
    </r>
  </si>
  <si>
    <r>
      <rPr>
        <sz val="11"/>
        <rFont val="Pretendard"/>
        <family val="0"/>
        <charset val="1"/>
      </rPr>
      <t xml:space="preserve">11/14(</t>
    </r>
    <r>
      <rPr>
        <sz val="11"/>
        <rFont val="WenQuanYi Zen Hei"/>
        <family val="2"/>
      </rPr>
      <t xml:space="preserve">토</t>
    </r>
    <r>
      <rPr>
        <sz val="11"/>
        <rFont val="Pretendard"/>
        <family val="0"/>
        <charset val="1"/>
      </rPr>
      <t xml:space="preserve">)</t>
    </r>
  </si>
  <si>
    <r>
      <rPr>
        <b val="true"/>
        <sz val="11"/>
        <rFont val="Pretendard"/>
        <family val="0"/>
        <charset val="1"/>
      </rPr>
      <t xml:space="preserve">4</t>
    </r>
    <r>
      <rPr>
        <b val="true"/>
        <sz val="11"/>
        <rFont val="WenQuanYi Zen Hei"/>
        <family val="2"/>
      </rPr>
      <t xml:space="preserve">일 합계</t>
    </r>
  </si>
  <si>
    <t xml:space="preserve">줄 선 손님 대기 시간</t>
  </si>
  <si>
    <t xml:space="preserve">줄에서 몇 번째</t>
  </si>
  <si>
    <r>
      <rPr>
        <b val="true"/>
        <sz val="11"/>
        <rFont val="WenQuanYi Zen Hei"/>
        <family val="2"/>
      </rPr>
      <t xml:space="preserve">기다리는 시간</t>
    </r>
    <r>
      <rPr>
        <b val="true"/>
        <sz val="11"/>
        <rFont val="Pretendard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분</t>
    </r>
    <r>
      <rPr>
        <b val="true"/>
        <sz val="11"/>
        <rFont val="Pretendard"/>
        <family val="0"/>
        <charset val="1"/>
      </rPr>
      <t xml:space="preserve">)</t>
    </r>
  </si>
  <si>
    <r>
      <rPr>
        <sz val="11"/>
        <color rgb="FF666666"/>
        <rFont val="WenQuanYi Zen Hei"/>
        <family val="2"/>
      </rPr>
      <t xml:space="preserve">계산</t>
    </r>
    <r>
      <rPr>
        <sz val="11"/>
        <color rgb="FF666666"/>
        <rFont val="Pretendard"/>
        <family val="0"/>
        <charset val="1"/>
      </rPr>
      <t xml:space="preserve">: </t>
    </r>
    <r>
      <rPr>
        <sz val="11"/>
        <color rgb="FF666666"/>
        <rFont val="WenQuanYi Zen Hei"/>
        <family val="2"/>
      </rPr>
      <t xml:space="preserve">앞 회차가 막 시작했다고 보고</t>
    </r>
    <r>
      <rPr>
        <sz val="11"/>
        <color rgb="FF666666"/>
        <rFont val="Pretendard"/>
        <family val="0"/>
        <charset val="1"/>
      </rPr>
      <t xml:space="preserve">, </t>
    </r>
    <r>
      <rPr>
        <sz val="11"/>
        <color rgb="FF666666"/>
        <rFont val="WenQuanYi Zen Hei"/>
        <family val="2"/>
      </rPr>
      <t xml:space="preserve">내 앞 사람 수를 좌석 수로 나눈 회차만큼 기다림</t>
    </r>
    <r>
      <rPr>
        <sz val="11"/>
        <color rgb="FF666666"/>
        <rFont val="Pretendard"/>
        <family val="0"/>
        <charset val="1"/>
      </rPr>
      <t xml:space="preserve">(</t>
    </r>
    <r>
      <rPr>
        <sz val="11"/>
        <color rgb="FF666666"/>
        <rFont val="WenQuanYi Zen Hei"/>
        <family val="2"/>
      </rPr>
      <t xml:space="preserve">최대값</t>
    </r>
    <r>
      <rPr>
        <sz val="11"/>
        <color rgb="FF666666"/>
        <rFont val="Pretendard"/>
        <family val="0"/>
        <charset val="1"/>
      </rPr>
      <t xml:space="preserve">).</t>
    </r>
  </si>
  <si>
    <r>
      <rPr>
        <sz val="11"/>
        <color rgb="FF666666"/>
        <rFont val="WenQuanYi Zen Hei"/>
        <family val="2"/>
      </rPr>
      <t xml:space="preserve">참고</t>
    </r>
    <r>
      <rPr>
        <sz val="11"/>
        <color rgb="FF666666"/>
        <rFont val="Pretendard"/>
        <family val="0"/>
        <charset val="1"/>
      </rPr>
      <t xml:space="preserve">: </t>
    </r>
    <r>
      <rPr>
        <sz val="11"/>
        <color rgb="FF666666"/>
        <rFont val="WenQuanYi Zen Hei"/>
        <family val="2"/>
      </rPr>
      <t xml:space="preserve">기획서 </t>
    </r>
    <r>
      <rPr>
        <sz val="11"/>
        <color rgb="FF666666"/>
        <rFont val="Pretendard"/>
        <family val="0"/>
        <charset val="1"/>
      </rPr>
      <t xml:space="preserve">v0.1 </t>
    </r>
    <r>
      <rPr>
        <sz val="11"/>
        <color rgb="FF666666"/>
        <rFont val="WenQuanYi Zen Hei"/>
        <family val="2"/>
      </rPr>
      <t xml:space="preserve">추정</t>
    </r>
    <r>
      <rPr>
        <sz val="11"/>
        <color rgb="FF666666"/>
        <rFont val="Pretendard"/>
        <family val="0"/>
        <charset val="1"/>
      </rPr>
      <t xml:space="preserve">(</t>
    </r>
    <r>
      <rPr>
        <sz val="11"/>
        <color rgb="FF666666"/>
        <rFont val="WenQuanYi Zen Hei"/>
        <family val="2"/>
      </rPr>
      <t xml:space="preserve">한 상 </t>
    </r>
    <r>
      <rPr>
        <sz val="11"/>
        <color rgb="FF666666"/>
        <rFont val="Pretendard"/>
        <family val="0"/>
        <charset val="1"/>
      </rPr>
      <t xml:space="preserve">1~1.5</t>
    </r>
    <r>
      <rPr>
        <sz val="11"/>
        <color rgb="FF666666"/>
        <rFont val="WenQuanYi Zen Hei"/>
        <family val="2"/>
      </rPr>
      <t xml:space="preserve">분</t>
    </r>
    <r>
      <rPr>
        <sz val="11"/>
        <color rgb="FF666666"/>
        <rFont val="Pretendard"/>
        <family val="0"/>
        <charset val="1"/>
      </rPr>
      <t xml:space="preserve">, </t>
    </r>
    <r>
      <rPr>
        <sz val="11"/>
        <color rgb="FF666666"/>
        <rFont val="WenQuanYi Zen Hei"/>
        <family val="2"/>
      </rPr>
      <t xml:space="preserve">하루 </t>
    </r>
    <r>
      <rPr>
        <sz val="11"/>
        <color rgb="FF666666"/>
        <rFont val="Pretendard"/>
        <family val="0"/>
        <charset val="1"/>
      </rPr>
      <t xml:space="preserve">300~350</t>
    </r>
    <r>
      <rPr>
        <sz val="11"/>
        <color rgb="FF666666"/>
        <rFont val="WenQuanYi Zen Hei"/>
        <family val="2"/>
      </rPr>
      <t xml:space="preserve">상</t>
    </r>
    <r>
      <rPr>
        <sz val="11"/>
        <color rgb="FF666666"/>
        <rFont val="Pretendard"/>
        <family val="0"/>
        <charset val="1"/>
      </rPr>
      <t xml:space="preserve">)</t>
    </r>
    <r>
      <rPr>
        <sz val="11"/>
        <color rgb="FF666666"/>
        <rFont val="WenQuanYi Zen Hei"/>
        <family val="2"/>
      </rPr>
      <t xml:space="preserve">은 설명 없는 방식 기준이라 이 표로 바뀝니다</t>
    </r>
    <r>
      <rPr>
        <sz val="11"/>
        <color rgb="FF666666"/>
        <rFont val="Pretendard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</si>
</sst>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%"/>
    <numFmt numFmtId="166" formatCode="0.0"/>
    <numFmt numFmtId="167" formatCode="General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b val="true"/>
      <sz val="14"/>
      <name val="Pretendard"/>
      <family val="0"/>
      <charset val="1"/>
    </font>
    <font>
      <sz val="11"/>
      <color rgb="FF666666"/>
      <name val="WenQuanYi Zen Hei"/>
      <family val="2"/>
    </font>
    <font>
      <sz val="11"/>
      <color rgb="FF666666"/>
      <name val="Pretendard"/>
      <family val="0"/>
      <charset val="1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Pretendard"/>
      <family val="0"/>
      <charset val="1"/>
    </font>
    <font>
      <sz val="11"/>
      <color rgb="FF0000FF"/>
      <name val="Pretendard"/>
      <family val="0"/>
      <charset val="1"/>
    </font>
    <font>
      <b val="true"/>
      <sz val="11"/>
      <name val="Pretendard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6"/>
    <col collapsed="false" customWidth="true" hidden="false" outlineLevel="0" max="3" min="3" style="0" width="10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40"/>
  </cols>
  <sheetData>
    <row r="1" customFormat="false" ht="19.4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5" t="n">
        <v>3</v>
      </c>
      <c r="C5" s="4" t="s">
        <v>4</v>
      </c>
      <c r="D5" s="2" t="s">
        <v>5</v>
      </c>
    </row>
    <row r="6" customFormat="false" ht="15" hidden="false" customHeight="false" outlineLevel="0" collapsed="false">
      <c r="A6" s="4" t="s">
        <v>6</v>
      </c>
      <c r="B6" s="5" t="n">
        <v>5</v>
      </c>
      <c r="C6" s="4" t="s">
        <v>7</v>
      </c>
      <c r="D6" s="2" t="s">
        <v>8</v>
      </c>
    </row>
    <row r="7" customFormat="false" ht="15" hidden="false" customHeight="false" outlineLevel="0" collapsed="false">
      <c r="A7" s="4" t="s">
        <v>9</v>
      </c>
      <c r="B7" s="5" t="n">
        <v>1</v>
      </c>
      <c r="C7" s="4" t="s">
        <v>7</v>
      </c>
      <c r="D7" s="2" t="s">
        <v>10</v>
      </c>
    </row>
    <row r="8" customFormat="false" ht="15" hidden="false" customHeight="false" outlineLevel="0" collapsed="false">
      <c r="A8" s="4" t="s">
        <v>11</v>
      </c>
      <c r="B8" s="6" t="n">
        <v>1</v>
      </c>
      <c r="C8" s="4"/>
      <c r="D8" s="2" t="s">
        <v>12</v>
      </c>
    </row>
    <row r="9" customFormat="false" ht="15" hidden="false" customHeight="false" outlineLevel="0" collapsed="false">
      <c r="A9" s="7" t="s">
        <v>13</v>
      </c>
      <c r="B9" s="5" t="n">
        <v>4</v>
      </c>
      <c r="C9" s="4" t="s">
        <v>14</v>
      </c>
      <c r="D9" s="2" t="s">
        <v>15</v>
      </c>
    </row>
    <row r="10" customFormat="false" ht="15" hidden="false" customHeight="false" outlineLevel="0" collapsed="false">
      <c r="A10" s="4" t="s">
        <v>16</v>
      </c>
      <c r="B10" s="6" t="n">
        <v>0.3</v>
      </c>
      <c r="C10" s="4"/>
      <c r="D10" s="2" t="s">
        <v>17</v>
      </c>
    </row>
    <row r="11" customFormat="false" ht="15" hidden="false" customHeight="false" outlineLevel="0" collapsed="false">
      <c r="A11" s="7" t="s">
        <v>18</v>
      </c>
      <c r="B11" s="5" t="n">
        <v>30</v>
      </c>
      <c r="C11" s="7" t="s">
        <v>19</v>
      </c>
      <c r="D11" s="2" t="s">
        <v>20</v>
      </c>
    </row>
    <row r="13" customFormat="false" ht="15" hidden="false" customHeight="false" outlineLevel="0" collapsed="false">
      <c r="A13" s="3" t="s">
        <v>21</v>
      </c>
      <c r="B13" s="3" t="n">
        <f aca="false">B6+B7</f>
        <v>6</v>
      </c>
      <c r="C13" s="4" t="s">
        <v>7</v>
      </c>
    </row>
    <row r="14" customFormat="false" ht="15" hidden="false" customHeight="false" outlineLevel="0" collapsed="false">
      <c r="A14" s="7" t="s">
        <v>22</v>
      </c>
      <c r="B14" s="8" t="n">
        <f aca="false">B9+B10</f>
        <v>4.3</v>
      </c>
      <c r="C14" s="4" t="s">
        <v>23</v>
      </c>
    </row>
    <row r="16" customFormat="false" ht="15" hidden="false" customHeight="false" outlineLevel="0" collapsed="false">
      <c r="A16" s="9" t="s">
        <v>24</v>
      </c>
      <c r="B16" s="9" t="s">
        <v>25</v>
      </c>
      <c r="C16" s="9" t="s">
        <v>26</v>
      </c>
      <c r="D16" s="9" t="s">
        <v>27</v>
      </c>
      <c r="E16" s="9" t="s">
        <v>28</v>
      </c>
      <c r="F16" s="9" t="s">
        <v>29</v>
      </c>
      <c r="G16" s="9" t="s">
        <v>30</v>
      </c>
    </row>
    <row r="17" customFormat="false" ht="15" hidden="false" customHeight="false" outlineLevel="0" collapsed="false">
      <c r="A17" s="7" t="s">
        <v>31</v>
      </c>
      <c r="B17" s="5" t="n">
        <v>8</v>
      </c>
      <c r="C17" s="4" t="n">
        <f aca="false">INT(B17*60/$B$13)</f>
        <v>80</v>
      </c>
      <c r="D17" s="4" t="n">
        <f aca="false">ROUND(C17*$B$5*$B$8,0)</f>
        <v>240</v>
      </c>
      <c r="E17" s="4" t="n">
        <f aca="false">ROUND(D17*$B$14,0)</f>
        <v>1032</v>
      </c>
      <c r="F17" s="8" t="n">
        <f aca="false">E17*$B$11/1000</f>
        <v>30.96</v>
      </c>
      <c r="G17" s="2" t="s">
        <v>32</v>
      </c>
    </row>
    <row r="18" customFormat="false" ht="15" hidden="false" customHeight="false" outlineLevel="0" collapsed="false">
      <c r="A18" s="7" t="s">
        <v>33</v>
      </c>
      <c r="B18" s="5" t="n">
        <v>8</v>
      </c>
      <c r="C18" s="4" t="n">
        <f aca="false">INT(B18*60/$B$13)</f>
        <v>80</v>
      </c>
      <c r="D18" s="4" t="n">
        <f aca="false">ROUND(C18*$B$5*$B$8,0)</f>
        <v>240</v>
      </c>
      <c r="E18" s="4" t="n">
        <f aca="false">ROUND(D18*$B$14,0)</f>
        <v>1032</v>
      </c>
      <c r="F18" s="8" t="n">
        <f aca="false">E18*$B$11/1000</f>
        <v>30.96</v>
      </c>
      <c r="G18" s="2" t="s">
        <v>32</v>
      </c>
    </row>
    <row r="19" customFormat="false" ht="15" hidden="false" customHeight="false" outlineLevel="0" collapsed="false">
      <c r="A19" s="7" t="s">
        <v>34</v>
      </c>
      <c r="B19" s="5" t="n">
        <v>8</v>
      </c>
      <c r="C19" s="4" t="n">
        <f aca="false">INT(B19*60/$B$13)</f>
        <v>80</v>
      </c>
      <c r="D19" s="4" t="n">
        <f aca="false">ROUND(C19*$B$5*$B$8,0)</f>
        <v>240</v>
      </c>
      <c r="E19" s="4" t="n">
        <f aca="false">ROUND(D19*$B$14,0)</f>
        <v>1032</v>
      </c>
      <c r="F19" s="8" t="n">
        <f aca="false">E19*$B$11/1000</f>
        <v>30.96</v>
      </c>
      <c r="G19" s="2" t="s">
        <v>32</v>
      </c>
    </row>
    <row r="20" customFormat="false" ht="15" hidden="false" customHeight="false" outlineLevel="0" collapsed="false">
      <c r="A20" s="7" t="s">
        <v>35</v>
      </c>
      <c r="B20" s="5" t="n">
        <v>6</v>
      </c>
      <c r="C20" s="4" t="n">
        <f aca="false">INT(B20*60/$B$13)</f>
        <v>60</v>
      </c>
      <c r="D20" s="4" t="n">
        <f aca="false">ROUND(C20*$B$5*$B$8,0)</f>
        <v>180</v>
      </c>
      <c r="E20" s="4" t="n">
        <f aca="false">ROUND(D20*$B$14,0)</f>
        <v>774</v>
      </c>
      <c r="F20" s="8" t="n">
        <f aca="false">E20*$B$11/1000</f>
        <v>23.22</v>
      </c>
      <c r="G20" s="2" t="s">
        <v>32</v>
      </c>
    </row>
    <row r="21" customFormat="false" ht="15" hidden="false" customHeight="false" outlineLevel="0" collapsed="false">
      <c r="A21" s="10" t="s">
        <v>36</v>
      </c>
      <c r="B21" s="11" t="n">
        <f aca="false">SUM(B17:B20)</f>
        <v>30</v>
      </c>
      <c r="C21" s="11" t="n">
        <f aca="false">SUM(C17:C20)</f>
        <v>300</v>
      </c>
      <c r="D21" s="11" t="n">
        <f aca="false">SUM(D17:D20)</f>
        <v>900</v>
      </c>
      <c r="E21" s="11" t="n">
        <f aca="false">SUM(E17:E20)</f>
        <v>3870</v>
      </c>
      <c r="F21" s="12" t="n">
        <f aca="false">SUM(F17:F20)</f>
        <v>116.1</v>
      </c>
    </row>
    <row r="23" customFormat="false" ht="15" hidden="false" customHeight="false" outlineLevel="0" collapsed="false">
      <c r="A23" s="3" t="s">
        <v>37</v>
      </c>
    </row>
    <row r="24" customFormat="false" ht="15" hidden="false" customHeight="false" outlineLevel="0" collapsed="false">
      <c r="A24" s="9" t="s">
        <v>38</v>
      </c>
      <c r="B24" s="9" t="s">
        <v>39</v>
      </c>
    </row>
    <row r="25" customFormat="false" ht="15" hidden="false" customHeight="false" outlineLevel="0" collapsed="false">
      <c r="A25" s="5" t="n">
        <v>3</v>
      </c>
      <c r="B25" s="4" t="n">
        <f aca="false">ROUNDUP(A25/$B$5,0)*$B$13</f>
        <v>6</v>
      </c>
    </row>
    <row r="26" customFormat="false" ht="15" hidden="false" customHeight="false" outlineLevel="0" collapsed="false">
      <c r="A26" s="5" t="n">
        <v>6</v>
      </c>
      <c r="B26" s="4" t="n">
        <f aca="false">ROUNDUP(A26/$B$5,0)*$B$13</f>
        <v>12</v>
      </c>
    </row>
    <row r="27" customFormat="false" ht="15" hidden="false" customHeight="false" outlineLevel="0" collapsed="false">
      <c r="A27" s="5" t="n">
        <v>9</v>
      </c>
      <c r="B27" s="4" t="n">
        <f aca="false">ROUNDUP(A27/$B$5,0)*$B$13</f>
        <v>18</v>
      </c>
    </row>
    <row r="28" customFormat="false" ht="15" hidden="false" customHeight="false" outlineLevel="0" collapsed="false">
      <c r="A28" s="5" t="n">
        <v>15</v>
      </c>
      <c r="B28" s="4" t="n">
        <f aca="false">ROUNDUP(A28/$B$5,0)*$B$13</f>
        <v>30</v>
      </c>
    </row>
    <row r="29" customFormat="false" ht="15" hidden="false" customHeight="false" outlineLevel="0" collapsed="false">
      <c r="A29" s="5" t="n">
        <v>30</v>
      </c>
      <c r="B29" s="4" t="n">
        <f aca="false">ROUNDUP(A29/$B$5,0)*$B$13</f>
        <v>60</v>
      </c>
    </row>
    <row r="30" customFormat="false" ht="15" hidden="false" customHeight="false" outlineLevel="0" collapsed="false">
      <c r="A30" s="2" t="s">
        <v>40</v>
      </c>
    </row>
    <row r="32" customFormat="false" ht="15" hidden="false" customHeight="false" outlineLevel="0" collapsed="false">
      <c r="A32" s="2" t="s">
        <v>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2026-10-06T05:32:51Z</dcterms:created>
  <dc:creator>openpyxl</dc:creator>
  <dc:description/>
  <dc:language>en-US</dc:language>
  <cp:lastModifiedBy/>
  <dcterms:modified xsi:type="dcterms:W3CDTF">2026-10-06T05:32:51Z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