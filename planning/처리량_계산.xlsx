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처리량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WenQuanYi Zen Hei"/>
      <family val="2"/>
      <b val="1"/>
      <sz val="14"/>
    </font>
    <font>
      <name val="Pretendard"/>
      <charset val="1"/>
      <family val="0"/>
      <b val="1"/>
      <sz val="14"/>
    </font>
    <font>
      <name val="WenQuanYi Zen Hei"/>
      <family val="2"/>
      <color rgb="FF666666"/>
      <sz val="11"/>
    </font>
    <font>
      <name val="Pretendard"/>
      <charset val="1"/>
      <family val="0"/>
      <color rgb="FF666666"/>
      <sz val="11"/>
    </font>
    <font>
      <name val="WenQuanYi Zen Hei"/>
      <family val="2"/>
      <b val="1"/>
      <sz val="11"/>
    </font>
    <font>
      <name val="WenQuanYi Zen Hei"/>
      <family val="2"/>
      <sz val="11"/>
    </font>
    <font>
      <name val="Pretendard"/>
      <charset val="1"/>
      <family val="0"/>
      <sz val="11"/>
    </font>
    <font>
      <name val="Pretendard"/>
      <charset val="1"/>
      <family val="0"/>
      <color rgb="FF0000FF"/>
      <sz val="11"/>
    </font>
    <font>
      <name val="Pretendard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FFF2CC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1" fillId="2" borderId="0" applyAlignment="1" pivotButton="0" quotePrefix="0" xfId="0">
      <alignment horizontal="general" vertical="bottom"/>
    </xf>
    <xf numFmtId="9" fontId="11" fillId="2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2" fillId="0" borderId="2" applyAlignment="1" pivotButton="0" quotePrefix="0" xfId="0">
      <alignment horizontal="general" vertical="bottom"/>
    </xf>
    <xf numFmtId="164" fontId="12" fillId="0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1" fillId="2" borderId="0" applyAlignment="1" pivotButton="0" quotePrefix="0" xfId="0">
      <alignment horizontal="general" vertical="bottom"/>
    </xf>
    <xf numFmtId="9" fontId="11" fillId="2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2" fillId="0" borderId="2" applyAlignment="1" pivotButton="0" quotePrefix="0" xfId="0">
      <alignment horizontal="general" vertical="bottom"/>
    </xf>
    <xf numFmtId="164" fontId="12" fillId="0" borderId="2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3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3" min="1" max="1"/>
    <col width="16" customWidth="1" style="13" min="2" max="2"/>
    <col width="10" customWidth="1" style="13" min="3" max="3"/>
    <col width="12" customWidth="1" style="13" min="4" max="4"/>
    <col width="14" customWidth="1" style="13" min="5" max="5"/>
    <col width="11" customWidth="1" style="13" min="6" max="6"/>
    <col width="40" customWidth="1" style="13" min="7" max="7"/>
  </cols>
  <sheetData>
    <row r="1" ht="19.4" customHeight="1" s="14">
      <c r="A1" s="15" t="inlineStr">
        <is>
          <t>카페쇼 소반 4상 처리량 계산 (2026-10-06)</t>
        </is>
      </c>
    </row>
    <row r="2" ht="15" customHeight="1" s="14">
      <c r="A2" s="16" t="inlineStr">
        <is>
          <t>노란 칸(파란 글씨)만 바꾸면 아래가 다시 계산돼요.</t>
        </is>
      </c>
    </row>
    <row r="4" ht="15" customHeight="1" s="14">
      <c r="A4" s="17" t="inlineStr">
        <is>
          <t>입력값</t>
        </is>
      </c>
    </row>
    <row r="5" ht="15" customHeight="1" s="14">
      <c r="A5" s="18" t="inlineStr">
        <is>
          <t>좌석 수(한 회차)</t>
        </is>
      </c>
      <c r="B5" s="19" t="n">
        <v>3</v>
      </c>
      <c r="C5" s="18" t="inlineStr">
        <is>
          <t>명</t>
        </is>
      </c>
      <c r="D5" s="16" t="inlineStr">
        <is>
          <t>대표님 10/6</t>
        </is>
      </c>
    </row>
    <row r="6" ht="15" customHeight="1" s="14">
      <c r="A6" s="18" t="inlineStr">
        <is>
          <t>설명(프레젠테이션) 시간</t>
        </is>
      </c>
      <c r="B6" s="19" t="n">
        <v>3</v>
      </c>
      <c r="C6" s="18" t="inlineStr">
        <is>
          <t>분</t>
        </is>
      </c>
      <c r="D6" s="16" t="inlineStr">
        <is>
          <t>대표님 10/28: 3분으로 줄임 (10/6엔 5분)</t>
        </is>
      </c>
    </row>
    <row r="7" ht="15" customHeight="1" s="14">
      <c r="A7" s="18" t="inlineStr">
        <is>
          <t>교대 시간(퇴장·덮개 재세팅·착석)</t>
        </is>
      </c>
      <c r="B7" s="19" t="n">
        <v>1</v>
      </c>
      <c r="C7" s="18" t="inlineStr">
        <is>
          <t>분</t>
        </is>
      </c>
      <c r="D7" s="16" t="inlineStr">
        <is>
          <t>추정: 리허설(11/3~7)에서 재서 고치기</t>
        </is>
      </c>
    </row>
    <row r="8" ht="15" customHeight="1" s="14">
      <c r="A8" s="18" t="inlineStr">
        <is>
          <t>좌석 채움률</t>
        </is>
      </c>
      <c r="B8" s="20" t="n">
        <v>1</v>
      </c>
      <c r="C8" s="18" t="n"/>
      <c r="D8" s="16" t="inlineStr">
        <is>
          <t>줄이 계속 있다고 가정(100%). 줄이 끊기면 낮추기</t>
        </is>
      </c>
    </row>
    <row r="9" ht="15" customHeight="1" s="14">
      <c r="A9" s="21" t="inlineStr">
        <is>
          <t>1인당 잔 수</t>
        </is>
      </c>
      <c r="B9" s="19" t="n">
        <v>4</v>
      </c>
      <c r="C9" s="18" t="inlineStr">
        <is>
          <t>잔</t>
        </is>
      </c>
      <c r="D9" s="16" t="inlineStr">
        <is>
          <t>소반 4상(구수·코스모스·보통·허벌)</t>
        </is>
      </c>
    </row>
    <row r="10" ht="15" customHeight="1" s="14">
      <c r="A10" s="18" t="inlineStr">
        <is>
          <t>리필 받는 비율</t>
        </is>
      </c>
      <c r="B10" s="20" t="n">
        <v>0.3</v>
      </c>
      <c r="C10" s="18" t="n"/>
      <c r="D10" s="16" t="inlineStr">
        <is>
          <t>추정: 4종 중 1회 리필, 30%가 받는다고 가정</t>
        </is>
      </c>
    </row>
    <row r="11" ht="15" customHeight="1" s="14">
      <c r="A11" s="21" t="inlineStr">
        <is>
          <t>1잔 양</t>
        </is>
      </c>
      <c r="B11" s="19" t="n">
        <v>30</v>
      </c>
      <c r="C11" s="21" t="inlineStr">
        <is>
          <t>ml</t>
        </is>
      </c>
      <c r="D11" s="16" t="inlineStr">
        <is>
          <t>추정: 기존 기획 1oz 기준</t>
        </is>
      </c>
    </row>
    <row r="13" ht="15" customHeight="1" s="14">
      <c r="A13" s="17" t="inlineStr">
        <is>
          <t>한 회차 시간</t>
        </is>
      </c>
      <c r="B13" s="17">
        <f>B6+B7</f>
        <v/>
      </c>
      <c r="C13" s="18" t="inlineStr">
        <is>
          <t>분</t>
        </is>
      </c>
    </row>
    <row r="14" ht="15" customHeight="1" s="14">
      <c r="A14" s="21" t="inlineStr">
        <is>
          <t>1인당 컵 수(리필 포함)</t>
        </is>
      </c>
      <c r="B14" s="22">
        <f>B9+B10</f>
        <v/>
      </c>
      <c r="C14" s="18" t="inlineStr">
        <is>
          <t>개</t>
        </is>
      </c>
    </row>
    <row r="16" ht="15" customHeight="1" s="14">
      <c r="A16" s="23" t="inlineStr">
        <is>
          <t>날짜</t>
        </is>
      </c>
      <c r="B16" s="23" t="inlineStr">
        <is>
          <t>운영 시간(시간)</t>
        </is>
      </c>
      <c r="C16" s="23" t="inlineStr">
        <is>
          <t>회차 수</t>
        </is>
      </c>
      <c r="D16" s="23" t="inlineStr">
        <is>
          <t>손님 수(명)</t>
        </is>
      </c>
      <c r="E16" s="23" t="inlineStr">
        <is>
          <t>일회용 컵(개)</t>
        </is>
      </c>
      <c r="F16" s="23" t="inlineStr">
        <is>
          <t>커피량(L)</t>
        </is>
      </c>
      <c r="G16" s="23" t="inlineStr">
        <is>
          <t>근거</t>
        </is>
      </c>
    </row>
    <row r="17" ht="15" customHeight="1" s="14">
      <c r="A17" s="21" t="inlineStr">
        <is>
          <t>11/11(수)</t>
        </is>
      </c>
      <c r="B17" s="19" t="n">
        <v>8</v>
      </c>
      <c r="C17" s="18">
        <f>INT(B17*60/$B$13)</f>
        <v/>
      </c>
      <c r="D17" s="18">
        <f>ROUND(C17*$B$5*$B$8,0)</f>
        <v/>
      </c>
      <c r="E17" s="18">
        <f>ROUND(D17*$B$14,0)</f>
        <v/>
      </c>
      <c r="F17" s="22">
        <f>E17*$B$11/1000</f>
        <v/>
      </c>
      <c r="G17" s="16" t="inlineStr">
        <is>
          <t>행사정보.md: 관람 10~18시, 토 16시 종료</t>
        </is>
      </c>
    </row>
    <row r="18" ht="15" customHeight="1" s="14">
      <c r="A18" s="21" t="inlineStr">
        <is>
          <t>11/12(목)</t>
        </is>
      </c>
      <c r="B18" s="19" t="n">
        <v>8</v>
      </c>
      <c r="C18" s="18">
        <f>INT(B18*60/$B$13)</f>
        <v/>
      </c>
      <c r="D18" s="18">
        <f>ROUND(C18*$B$5*$B$8,0)</f>
        <v/>
      </c>
      <c r="E18" s="18">
        <f>ROUND(D18*$B$14,0)</f>
        <v/>
      </c>
      <c r="F18" s="22">
        <f>E18*$B$11/1000</f>
        <v/>
      </c>
      <c r="G18" s="16" t="inlineStr">
        <is>
          <t>행사정보.md: 관람 10~18시, 토 16시 종료</t>
        </is>
      </c>
    </row>
    <row r="19" ht="15" customHeight="1" s="14">
      <c r="A19" s="21" t="inlineStr">
        <is>
          <t>11/13(금)</t>
        </is>
      </c>
      <c r="B19" s="19" t="n">
        <v>8</v>
      </c>
      <c r="C19" s="18">
        <f>INT(B19*60/$B$13)</f>
        <v/>
      </c>
      <c r="D19" s="18">
        <f>ROUND(C19*$B$5*$B$8,0)</f>
        <v/>
      </c>
      <c r="E19" s="18">
        <f>ROUND(D19*$B$14,0)</f>
        <v/>
      </c>
      <c r="F19" s="22">
        <f>E19*$B$11/1000</f>
        <v/>
      </c>
      <c r="G19" s="16" t="inlineStr">
        <is>
          <t>행사정보.md: 관람 10~18시, 토 16시 종료</t>
        </is>
      </c>
    </row>
    <row r="20" ht="15" customHeight="1" s="14">
      <c r="A20" s="21" t="inlineStr">
        <is>
          <t>11/14(토)</t>
        </is>
      </c>
      <c r="B20" s="19" t="n">
        <v>6</v>
      </c>
      <c r="C20" s="18">
        <f>INT(B20*60/$B$13)</f>
        <v/>
      </c>
      <c r="D20" s="18">
        <f>ROUND(C20*$B$5*$B$8,0)</f>
        <v/>
      </c>
      <c r="E20" s="18">
        <f>ROUND(D20*$B$14,0)</f>
        <v/>
      </c>
      <c r="F20" s="22">
        <f>E20*$B$11/1000</f>
        <v/>
      </c>
      <c r="G20" s="16" t="inlineStr">
        <is>
          <t>행사정보.md: 관람 10~18시, 토 16시 종료</t>
        </is>
      </c>
    </row>
    <row r="21" ht="15" customHeight="1" s="14">
      <c r="A21" s="24" t="inlineStr">
        <is>
          <t>4일 합계</t>
        </is>
      </c>
      <c r="B21" s="25">
        <f>SUM(B17:B20)</f>
        <v/>
      </c>
      <c r="C21" s="25">
        <f>SUM(C17:C20)</f>
        <v/>
      </c>
      <c r="D21" s="25">
        <f>SUM(D17:D20)</f>
        <v/>
      </c>
      <c r="E21" s="25">
        <f>SUM(E17:E20)</f>
        <v/>
      </c>
      <c r="F21" s="26">
        <f>SUM(F17:F20)</f>
        <v/>
      </c>
    </row>
    <row r="23" ht="15" customHeight="1" s="14">
      <c r="A23" s="17" t="inlineStr">
        <is>
          <t>줄 선 손님 대기 시간</t>
        </is>
      </c>
    </row>
    <row r="24" ht="15" customHeight="1" s="14">
      <c r="A24" s="23" t="inlineStr">
        <is>
          <t>줄에서 몇 번째</t>
        </is>
      </c>
      <c r="B24" s="23" t="inlineStr">
        <is>
          <t>기다리는 시간(분)</t>
        </is>
      </c>
    </row>
    <row r="25" ht="15" customHeight="1" s="14">
      <c r="A25" s="19" t="n">
        <v>3</v>
      </c>
      <c r="B25" s="18">
        <f>ROUNDUP(A25/$B$5,0)*$B$13</f>
        <v/>
      </c>
    </row>
    <row r="26" ht="15" customHeight="1" s="14">
      <c r="A26" s="19" t="n">
        <v>6</v>
      </c>
      <c r="B26" s="18">
        <f>ROUNDUP(A26/$B$5,0)*$B$13</f>
        <v/>
      </c>
    </row>
    <row r="27" ht="15" customHeight="1" s="14">
      <c r="A27" s="19" t="n">
        <v>9</v>
      </c>
      <c r="B27" s="18">
        <f>ROUNDUP(A27/$B$5,0)*$B$13</f>
        <v/>
      </c>
    </row>
    <row r="28" ht="15" customHeight="1" s="14">
      <c r="A28" s="19" t="n">
        <v>15</v>
      </c>
      <c r="B28" s="18">
        <f>ROUNDUP(A28/$B$5,0)*$B$13</f>
        <v/>
      </c>
    </row>
    <row r="29" ht="15" customHeight="1" s="14">
      <c r="A29" s="19" t="n">
        <v>30</v>
      </c>
      <c r="B29" s="18">
        <f>ROUNDUP(A29/$B$5,0)*$B$13</f>
        <v/>
      </c>
    </row>
    <row r="30" ht="15" customHeight="1" s="14">
      <c r="A30" s="16" t="inlineStr">
        <is>
          <t>계산: 앞 회차가 막 시작했다고 보고, 내 앞 사람 수를 좌석 수로 나눈 회차만큼 기다림(최대값).</t>
        </is>
      </c>
    </row>
    <row r="32" ht="15" customHeight="1" s="14">
      <c r="A32" s="16" t="inlineStr">
        <is>
          <t>참고: 기획서 v0.1 추정(한 상 1~1.5분, 하루 300~350상)은 설명 없는 방식 기준이라 이 표로 바뀝니다.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2026-10-06T05:32:51Z</dcterms:created>
  <dcterms:modified xmlns:dcterms="http://purl.org/dc/terms/" xmlns:xsi="http://www.w3.org/2001/XMLSchema-instance" xsi:type="dcterms:W3CDTF">2026-10-28T13:31:40Z</dcterms:modified>
  <cp:revision>0</cp:revision>
</cp:coreProperties>
</file>