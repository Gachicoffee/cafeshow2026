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페쇼 원두 주문 이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Pretendard"/>
      <b val="1"/>
      <sz val="13"/>
    </font>
    <font>
      <name val="Pretendard"/>
      <color rgb="005B5B58"/>
      <sz val="9"/>
    </font>
    <font>
      <name val="Pretendard"/>
      <b val="1"/>
      <sz val="10"/>
    </font>
    <font>
      <name val="Pretendard"/>
      <sz val="10"/>
    </font>
    <font>
      <name val="Pretendard"/>
      <color rgb="001E3FA3"/>
      <sz val="10"/>
    </font>
    <font>
      <name val="Pretendard"/>
      <color rgb="00BB2E21"/>
      <sz val="9"/>
    </font>
    <font>
      <name val="Pretendard"/>
      <sz val="9.5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E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3" fontId="5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4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3" fontId="4" fillId="0" borderId="0" applyAlignment="1" pivotButton="0" quotePrefix="0" xfId="0">
      <alignment vertical="center" wrapText="1"/>
    </xf>
    <xf numFmtId="3" fontId="3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3" fontId="5" fillId="2" borderId="0" pivotButton="0" quotePrefix="0" xfId="0"/>
    <xf numFmtId="3" fontId="3" fillId="0" borderId="0" pivotButton="0" quotePrefix="0" xfId="0"/>
    <xf numFmtId="0" fontId="6" fillId="0" borderId="0" pivotButton="0" quotePrefix="0" xfId="0"/>
    <xf numFmtId="9" fontId="5" fillId="2" borderId="0" pivotButton="0" quotePrefix="0" xfId="0"/>
    <xf numFmtId="3" fontId="4" fillId="0" borderId="0" pivotButton="0" quotePrefix="0" xfId="0"/>
    <xf numFmtId="165" fontId="4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2" ySplit="18" topLeftCell="C1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1" customWidth="1" min="4" max="4"/>
    <col width="10" customWidth="1" min="5" max="5"/>
    <col width="8" customWidth="1" min="6" max="6"/>
    <col width="9" customWidth="1" min="7" max="7"/>
    <col width="8" customWidth="1" min="8" max="8"/>
    <col width="9" customWidth="1" min="9" max="9"/>
    <col width="14" customWidth="1" min="10" max="10"/>
    <col width="8" customWidth="1" min="11" max="11"/>
    <col width="14" customWidth="1" min="12" max="12"/>
    <col width="15" customWidth="1" min="13" max="13"/>
    <col width="14" customWidth="1" min="14" max="14"/>
    <col width="40" customWidth="1" min="15" max="15"/>
  </cols>
  <sheetData>
    <row r="1">
      <c r="A1" s="1" t="inlineStr">
        <is>
          <t>카페쇼 원두 주문 1건당 이익 (무료배송 + 드립백 덤)</t>
        </is>
      </c>
    </row>
    <row r="2">
      <c r="A2" s="2" t="inlineStr">
        <is>
          <t>노란 칸을 바꾸면 다시 계산돼요. 자료: 대표 PC 통합앱 정리 파일(10/28). 코스모스·구수·보통 원가는 통합앱 배합의 생두 단가 기준이라, 자사몰 배합(현재 기준)과 생두가 달라 실제와 차이가 날 수 있어요.</t>
        </is>
      </c>
    </row>
    <row r="3"/>
    <row r="4">
      <c r="A4" s="3" t="inlineStr">
        <is>
          <t>입력값</t>
        </is>
      </c>
      <c r="E4" s="14" t="inlineStr">
        <is>
          <t>허벌 원가 입력</t>
        </is>
      </c>
    </row>
    <row r="5">
      <c r="A5" s="4" t="inlineStr">
        <is>
          <t>드립백 덤 개수(주문 1건당)</t>
        </is>
      </c>
      <c r="B5" s="5" t="n">
        <v>2</v>
      </c>
      <c r="C5" s="6" t="inlineStr">
        <is>
          <t>대표·클로드 안(10/28)</t>
        </is>
      </c>
      <c r="E5" s="15" t="inlineStr">
        <is>
          <t>라 에스메랄다 생두(원/kg)</t>
        </is>
      </c>
      <c r="G5" s="16" t="n">
        <v>52000</v>
      </c>
      <c r="I5" s="15" t="inlineStr">
        <is>
          <t>볶은 원두 kg당</t>
        </is>
      </c>
      <c r="J5" s="17">
        <f>ROUND((G5*G7+G6*(1-G7))/(1-G8),0)</f>
        <v/>
      </c>
    </row>
    <row r="6">
      <c r="A6" s="4" t="inlineStr">
        <is>
          <t>드립백 1개 원가(원)</t>
        </is>
      </c>
      <c r="B6" s="5" t="n">
        <v>827</v>
      </c>
      <c r="C6" s="6" t="inlineStr">
        <is>
          <t>드립백_원가표.xlsx 4종 평균 3,309÷4</t>
        </is>
      </c>
      <c r="E6" s="15" t="inlineStr">
        <is>
          <t>엘 포르베니르 생두(원/kg)</t>
        </is>
      </c>
      <c r="G6" s="16" t="n">
        <v>28000</v>
      </c>
      <c r="I6" s="18" t="inlineStr">
        <is>
          <t>배합은 대표 계산(70:30). 라벨은 67:33 — 확인 필요. 손실률 15%는 다른 블렌드(13.5~16.3%) 기준 추정</t>
        </is>
      </c>
    </row>
    <row r="7">
      <c r="A7" s="4" t="inlineStr">
        <is>
          <t>가입 축하 쿠폰(원, 1만 원 이상)</t>
        </is>
      </c>
      <c r="B7" s="5" t="n">
        <v>2000</v>
      </c>
      <c r="C7" s="6" t="inlineStr">
        <is>
          <t>아임웹: 다른 할인과 중복 안 됨</t>
        </is>
      </c>
      <c r="E7" s="15" t="inlineStr">
        <is>
          <t>에스메랄다 비율</t>
        </is>
      </c>
      <c r="G7" s="19" t="n">
        <v>0.7</v>
      </c>
    </row>
    <row r="8">
      <c r="A8" s="4" t="inlineStr">
        <is>
          <t>평소 배송비(고객 부담, 원)</t>
        </is>
      </c>
      <c r="B8" s="5" t="n">
        <v>3000</v>
      </c>
      <c r="C8" s="6" t="inlineStr">
        <is>
          <t>5만 원 이상 무료</t>
        </is>
      </c>
      <c r="E8" s="15" t="inlineStr">
        <is>
          <t>로스팅 손실률(추정)</t>
        </is>
      </c>
      <c r="G8" s="19" t="n">
        <v>0.15</v>
      </c>
    </row>
    <row r="9">
      <c r="A9" s="4" t="inlineStr">
        <is>
          <t>평소 무료배송 기준(원)</t>
        </is>
      </c>
      <c r="B9" s="5" t="n">
        <v>50000</v>
      </c>
      <c r="C9" s="6" t="inlineStr"/>
    </row>
    <row r="10"/>
    <row r="11">
      <c r="A11" s="3" t="inlineStr">
        <is>
          <t>택배 크기별 비용</t>
        </is>
      </c>
    </row>
    <row r="12">
      <c r="A12" s="7" t="inlineStr">
        <is>
          <t>크기</t>
        </is>
      </c>
      <c r="B12" s="7" t="inlineStr">
        <is>
          <t>택배 단가(원)</t>
        </is>
      </c>
      <c r="C12" s="7" t="inlineStr">
        <is>
          <t>박스 단가(원)</t>
        </is>
      </c>
    </row>
    <row r="13">
      <c r="A13" s="4" t="inlineStr">
        <is>
          <t>극소</t>
        </is>
      </c>
      <c r="B13" s="5" t="n">
        <v>3000</v>
      </c>
      <c r="C13" s="8" t="n">
        <v>264.4</v>
      </c>
    </row>
    <row r="14">
      <c r="A14" s="4" t="inlineStr">
        <is>
          <t>소</t>
        </is>
      </c>
      <c r="B14" s="5" t="n">
        <v>3980</v>
      </c>
      <c r="C14" s="8" t="n">
        <v>317.3</v>
      </c>
    </row>
    <row r="15">
      <c r="A15" s="4" t="inlineStr">
        <is>
          <t>중</t>
        </is>
      </c>
      <c r="B15" s="5" t="n">
        <v>4370</v>
      </c>
      <c r="C15" s="8" t="n">
        <v>705</v>
      </c>
    </row>
    <row r="16">
      <c r="A16" s="9" t="inlineStr">
        <is>
          <t>추정: 200g→극소, 500g→소, 1kg→중 (드립백 2개를 같이 넣어도 같은 크기라고 봄). 실제 쓰는 박스로 바꿔 주세요.</t>
        </is>
      </c>
    </row>
    <row r="17"/>
    <row r="18">
      <c r="A18" s="7" t="inlineStr">
        <is>
          <t>품목</t>
        </is>
      </c>
      <c r="B18" s="7" t="inlineStr">
        <is>
          <t>용량</t>
        </is>
      </c>
      <c r="C18" s="7" t="inlineStr">
        <is>
          <t>판매가(VAT 포함)</t>
        </is>
      </c>
      <c r="D18" s="7" t="inlineStr">
        <is>
          <t>공급가액</t>
        </is>
      </c>
      <c r="E18" s="7" t="inlineStr">
        <is>
          <t>1봉 원가</t>
        </is>
      </c>
      <c r="F18" s="7" t="inlineStr">
        <is>
          <t>택배 크기</t>
        </is>
      </c>
      <c r="G18" s="7" t="inlineStr">
        <is>
          <t>택배비</t>
        </is>
      </c>
      <c r="H18" s="7" t="inlineStr">
        <is>
          <t>박스</t>
        </is>
      </c>
      <c r="I18" s="7" t="inlineStr">
        <is>
          <t>덤 원가</t>
        </is>
      </c>
      <c r="J18" s="7" t="inlineStr">
        <is>
          <t>카페쇼 이익(쿠폰 없음)</t>
        </is>
      </c>
      <c r="K18" s="7" t="inlineStr">
        <is>
          <t>이익률</t>
        </is>
      </c>
      <c r="L18" s="7" t="inlineStr">
        <is>
          <t>카페쇼 이익(가입 쿠폰)</t>
        </is>
      </c>
      <c r="M18" s="7" t="inlineStr">
        <is>
          <t>참고: 10% 할인·무료배송 이익</t>
        </is>
      </c>
      <c r="N18" s="7" t="inlineStr">
        <is>
          <t>참고: 평소 자사몰 이익</t>
        </is>
      </c>
      <c r="O18" s="7" t="inlineStr">
        <is>
          <t>원가 근거</t>
        </is>
      </c>
    </row>
    <row r="19">
      <c r="A19" s="4" t="inlineStr">
        <is>
          <t>코스모스</t>
        </is>
      </c>
      <c r="B19" s="4" t="inlineStr">
        <is>
          <t>200g</t>
        </is>
      </c>
      <c r="C19" s="10" t="n">
        <v>18000</v>
      </c>
      <c r="D19" s="10">
        <f>ROUND(C19/1.1,0)</f>
        <v/>
      </c>
      <c r="E19" s="10" t="n">
        <v>5658</v>
      </c>
      <c r="F19" s="4" t="inlineStr">
        <is>
          <t>극소</t>
        </is>
      </c>
      <c r="G19" s="10">
        <f>VLOOKUP(F19,$A$13:$C$15,2,FALSE)</f>
        <v/>
      </c>
      <c r="H19" s="10">
        <f>VLOOKUP(F19,$A$13:$C$15,3,FALSE)</f>
        <v/>
      </c>
      <c r="I19" s="10">
        <f>$B$5*$B$6</f>
        <v/>
      </c>
      <c r="J19" s="11">
        <f>D19-E19-G19-H19-I19</f>
        <v/>
      </c>
      <c r="K19" s="12">
        <f>J19/D19</f>
        <v/>
      </c>
      <c r="L19" s="10">
        <f>IF(C19&gt;=10000,ROUND((C19-$B$7)/1.1,0),D19)-E19-G19-H19-I19</f>
        <v/>
      </c>
      <c r="M19" s="10">
        <f>ROUND(C19*0.9/1.1,0)-E19-G19-H19</f>
        <v/>
      </c>
      <c r="N19" s="10">
        <f>IF(C19&gt;=$B$9,D19-G19,D19+ROUND($B$8/1.1,0)-G19)-E19-H19</f>
        <v/>
      </c>
      <c r="O19" s="6" t="inlineStr">
        <is>
          <t>원가 정리 파일</t>
        </is>
      </c>
    </row>
    <row r="20">
      <c r="A20" s="4" t="inlineStr">
        <is>
          <t>코스모스</t>
        </is>
      </c>
      <c r="B20" s="4" t="inlineStr">
        <is>
          <t>500g</t>
        </is>
      </c>
      <c r="C20" s="10" t="n">
        <v>36000</v>
      </c>
      <c r="D20" s="10">
        <f>ROUND(C20/1.1,0)</f>
        <v/>
      </c>
      <c r="E20" s="10" t="n">
        <v>13304</v>
      </c>
      <c r="F20" s="4" t="inlineStr">
        <is>
          <t>소</t>
        </is>
      </c>
      <c r="G20" s="10">
        <f>VLOOKUP(F20,$A$13:$C$15,2,FALSE)</f>
        <v/>
      </c>
      <c r="H20" s="10">
        <f>VLOOKUP(F20,$A$13:$C$15,3,FALSE)</f>
        <v/>
      </c>
      <c r="I20" s="10">
        <f>$B$5*$B$6</f>
        <v/>
      </c>
      <c r="J20" s="11">
        <f>D20-E20-G20-H20-I20</f>
        <v/>
      </c>
      <c r="K20" s="12">
        <f>J20/D20</f>
        <v/>
      </c>
      <c r="L20" s="10">
        <f>IF(C20&gt;=10000,ROUND((C20-$B$7)/1.1,0),D20)-E20-G20-H20-I20</f>
        <v/>
      </c>
      <c r="M20" s="10">
        <f>ROUND(C20*0.9/1.1,0)-E20-G20-H20</f>
        <v/>
      </c>
      <c r="N20" s="10">
        <f>IF(C20&gt;=$B$9,D20-G20,D20+ROUND($B$8/1.1,0)-G20)-E20-H20</f>
        <v/>
      </c>
      <c r="O20" s="6" t="inlineStr">
        <is>
          <t>원가 정리 파일</t>
        </is>
      </c>
    </row>
    <row r="21">
      <c r="A21" s="4" t="inlineStr">
        <is>
          <t>코스모스</t>
        </is>
      </c>
      <c r="B21" s="4" t="inlineStr">
        <is>
          <t>1000g</t>
        </is>
      </c>
      <c r="C21" s="10" t="n">
        <v>65000</v>
      </c>
      <c r="D21" s="10">
        <f>ROUND(C21/1.1,0)</f>
        <v/>
      </c>
      <c r="E21" s="10" t="n">
        <v>26137</v>
      </c>
      <c r="F21" s="4" t="inlineStr">
        <is>
          <t>중</t>
        </is>
      </c>
      <c r="G21" s="10">
        <f>VLOOKUP(F21,$A$13:$C$15,2,FALSE)</f>
        <v/>
      </c>
      <c r="H21" s="10">
        <f>VLOOKUP(F21,$A$13:$C$15,3,FALSE)</f>
        <v/>
      </c>
      <c r="I21" s="10">
        <f>$B$5*$B$6</f>
        <v/>
      </c>
      <c r="J21" s="11">
        <f>D21-E21-G21-H21-I21</f>
        <v/>
      </c>
      <c r="K21" s="12">
        <f>J21/D21</f>
        <v/>
      </c>
      <c r="L21" s="10">
        <f>IF(C21&gt;=10000,ROUND((C21-$B$7)/1.1,0),D21)-E21-G21-H21-I21</f>
        <v/>
      </c>
      <c r="M21" s="10">
        <f>ROUND(C21*0.9/1.1,0)-E21-G21-H21</f>
        <v/>
      </c>
      <c r="N21" s="10">
        <f>IF(C21&gt;=$B$9,D21-G21,D21+ROUND($B$8/1.1,0)-G21)-E21-H21</f>
        <v/>
      </c>
      <c r="O21" s="6" t="inlineStr">
        <is>
          <t>원가 정리 파일</t>
        </is>
      </c>
    </row>
    <row r="22">
      <c r="A22" s="4" t="inlineStr">
        <is>
          <t>구수</t>
        </is>
      </c>
      <c r="B22" s="4" t="inlineStr">
        <is>
          <t>200g</t>
        </is>
      </c>
      <c r="C22" s="10" t="n">
        <v>16000</v>
      </c>
      <c r="D22" s="10">
        <f>ROUND(C22/1.1,0)</f>
        <v/>
      </c>
      <c r="E22" s="10" t="n">
        <v>3762</v>
      </c>
      <c r="F22" s="4" t="inlineStr">
        <is>
          <t>극소</t>
        </is>
      </c>
      <c r="G22" s="10">
        <f>VLOOKUP(F22,$A$13:$C$15,2,FALSE)</f>
        <v/>
      </c>
      <c r="H22" s="10">
        <f>VLOOKUP(F22,$A$13:$C$15,3,FALSE)</f>
        <v/>
      </c>
      <c r="I22" s="10">
        <f>$B$5*$B$6</f>
        <v/>
      </c>
      <c r="J22" s="11">
        <f>D22-E22-G22-H22-I22</f>
        <v/>
      </c>
      <c r="K22" s="12">
        <f>J22/D22</f>
        <v/>
      </c>
      <c r="L22" s="10">
        <f>IF(C22&gt;=10000,ROUND((C22-$B$7)/1.1,0),D22)-E22-G22-H22-I22</f>
        <v/>
      </c>
      <c r="M22" s="10">
        <f>ROUND(C22*0.9/1.1,0)-E22-G22-H22</f>
        <v/>
      </c>
      <c r="N22" s="10">
        <f>IF(C22&gt;=$B$9,D22-G22,D22+ROUND($B$8/1.1,0)-G22)-E22-H22</f>
        <v/>
      </c>
      <c r="O22" s="6" t="inlineStr">
        <is>
          <t>원가 정리 파일</t>
        </is>
      </c>
    </row>
    <row r="23">
      <c r="A23" s="4" t="inlineStr">
        <is>
          <t>구수</t>
        </is>
      </c>
      <c r="B23" s="4" t="inlineStr">
        <is>
          <t>500g</t>
        </is>
      </c>
      <c r="C23" s="10" t="n">
        <v>32000</v>
      </c>
      <c r="D23" s="10">
        <f>ROUND(C23/1.1,0)</f>
        <v/>
      </c>
      <c r="E23" s="10" t="n">
        <v>8566</v>
      </c>
      <c r="F23" s="4" t="inlineStr">
        <is>
          <t>소</t>
        </is>
      </c>
      <c r="G23" s="10">
        <f>VLOOKUP(F23,$A$13:$C$15,2,FALSE)</f>
        <v/>
      </c>
      <c r="H23" s="10">
        <f>VLOOKUP(F23,$A$13:$C$15,3,FALSE)</f>
        <v/>
      </c>
      <c r="I23" s="10">
        <f>$B$5*$B$6</f>
        <v/>
      </c>
      <c r="J23" s="11">
        <f>D23-E23-G23-H23-I23</f>
        <v/>
      </c>
      <c r="K23" s="12">
        <f>J23/D23</f>
        <v/>
      </c>
      <c r="L23" s="10">
        <f>IF(C23&gt;=10000,ROUND((C23-$B$7)/1.1,0),D23)-E23-G23-H23-I23</f>
        <v/>
      </c>
      <c r="M23" s="10">
        <f>ROUND(C23*0.9/1.1,0)-E23-G23-H23</f>
        <v/>
      </c>
      <c r="N23" s="10">
        <f>IF(C23&gt;=$B$9,D23-G23,D23+ROUND($B$8/1.1,0)-G23)-E23-H23</f>
        <v/>
      </c>
      <c r="O23" s="6" t="inlineStr">
        <is>
          <t>원가 정리 파일</t>
        </is>
      </c>
    </row>
    <row r="24">
      <c r="A24" s="4" t="inlineStr">
        <is>
          <t>구수</t>
        </is>
      </c>
      <c r="B24" s="4" t="inlineStr">
        <is>
          <t>1000g</t>
        </is>
      </c>
      <c r="C24" s="10" t="n">
        <v>58000</v>
      </c>
      <c r="D24" s="10">
        <f>ROUND(C24/1.1,0)</f>
        <v/>
      </c>
      <c r="E24" s="10" t="n">
        <v>16661</v>
      </c>
      <c r="F24" s="4" t="inlineStr">
        <is>
          <t>중</t>
        </is>
      </c>
      <c r="G24" s="10">
        <f>VLOOKUP(F24,$A$13:$C$15,2,FALSE)</f>
        <v/>
      </c>
      <c r="H24" s="10">
        <f>VLOOKUP(F24,$A$13:$C$15,3,FALSE)</f>
        <v/>
      </c>
      <c r="I24" s="10">
        <f>$B$5*$B$6</f>
        <v/>
      </c>
      <c r="J24" s="11">
        <f>D24-E24-G24-H24-I24</f>
        <v/>
      </c>
      <c r="K24" s="12">
        <f>J24/D24</f>
        <v/>
      </c>
      <c r="L24" s="10">
        <f>IF(C24&gt;=10000,ROUND((C24-$B$7)/1.1,0),D24)-E24-G24-H24-I24</f>
        <v/>
      </c>
      <c r="M24" s="10">
        <f>ROUND(C24*0.9/1.1,0)-E24-G24-H24</f>
        <v/>
      </c>
      <c r="N24" s="10">
        <f>IF(C24&gt;=$B$9,D24-G24,D24+ROUND($B$8/1.1,0)-G24)-E24-H24</f>
        <v/>
      </c>
      <c r="O24" s="6" t="inlineStr">
        <is>
          <t>원가 정리 파일</t>
        </is>
      </c>
    </row>
    <row r="25">
      <c r="A25" s="4" t="inlineStr">
        <is>
          <t>보통</t>
        </is>
      </c>
      <c r="B25" s="4" t="inlineStr">
        <is>
          <t>200g</t>
        </is>
      </c>
      <c r="C25" s="10" t="n">
        <v>14000</v>
      </c>
      <c r="D25" s="10">
        <f>ROUND(C25/1.1,0)</f>
        <v/>
      </c>
      <c r="E25" s="10" t="n">
        <v>3672</v>
      </c>
      <c r="F25" s="4" t="inlineStr">
        <is>
          <t>극소</t>
        </is>
      </c>
      <c r="G25" s="10">
        <f>VLOOKUP(F25,$A$13:$C$15,2,FALSE)</f>
        <v/>
      </c>
      <c r="H25" s="10">
        <f>VLOOKUP(F25,$A$13:$C$15,3,FALSE)</f>
        <v/>
      </c>
      <c r="I25" s="10">
        <f>$B$5*$B$6</f>
        <v/>
      </c>
      <c r="J25" s="11">
        <f>D25-E25-G25-H25-I25</f>
        <v/>
      </c>
      <c r="K25" s="12">
        <f>J25/D25</f>
        <v/>
      </c>
      <c r="L25" s="10">
        <f>IF(C25&gt;=10000,ROUND((C25-$B$7)/1.1,0),D25)-E25-G25-H25-I25</f>
        <v/>
      </c>
      <c r="M25" s="10">
        <f>ROUND(C25*0.9/1.1,0)-E25-G25-H25</f>
        <v/>
      </c>
      <c r="N25" s="10">
        <f>IF(C25&gt;=$B$9,D25-G25,D25+ROUND($B$8/1.1,0)-G25)-E25-H25</f>
        <v/>
      </c>
      <c r="O25" s="6" t="inlineStr">
        <is>
          <t>원가 정리 파일</t>
        </is>
      </c>
    </row>
    <row r="26">
      <c r="A26" s="4" t="inlineStr">
        <is>
          <t>보통</t>
        </is>
      </c>
      <c r="B26" s="4" t="inlineStr">
        <is>
          <t>500g</t>
        </is>
      </c>
      <c r="C26" s="10" t="n">
        <v>28000</v>
      </c>
      <c r="D26" s="10">
        <f>ROUND(C26/1.1,0)</f>
        <v/>
      </c>
      <c r="E26" s="10" t="n">
        <v>8340</v>
      </c>
      <c r="F26" s="4" t="inlineStr">
        <is>
          <t>소</t>
        </is>
      </c>
      <c r="G26" s="10">
        <f>VLOOKUP(F26,$A$13:$C$15,2,FALSE)</f>
        <v/>
      </c>
      <c r="H26" s="10">
        <f>VLOOKUP(F26,$A$13:$C$15,3,FALSE)</f>
        <v/>
      </c>
      <c r="I26" s="10">
        <f>$B$5*$B$6</f>
        <v/>
      </c>
      <c r="J26" s="11">
        <f>D26-E26-G26-H26-I26</f>
        <v/>
      </c>
      <c r="K26" s="12">
        <f>J26/D26</f>
        <v/>
      </c>
      <c r="L26" s="10">
        <f>IF(C26&gt;=10000,ROUND((C26-$B$7)/1.1,0),D26)-E26-G26-H26-I26</f>
        <v/>
      </c>
      <c r="M26" s="10">
        <f>ROUND(C26*0.9/1.1,0)-E26-G26-H26</f>
        <v/>
      </c>
      <c r="N26" s="10">
        <f>IF(C26&gt;=$B$9,D26-G26,D26+ROUND($B$8/1.1,0)-G26)-E26-H26</f>
        <v/>
      </c>
      <c r="O26" s="6" t="inlineStr">
        <is>
          <t>원가 정리 파일</t>
        </is>
      </c>
    </row>
    <row r="27">
      <c r="A27" s="4" t="inlineStr">
        <is>
          <t>보통</t>
        </is>
      </c>
      <c r="B27" s="4" t="inlineStr">
        <is>
          <t>1000g</t>
        </is>
      </c>
      <c r="C27" s="10" t="n">
        <v>50000</v>
      </c>
      <c r="D27" s="10">
        <f>ROUND(C27/1.1,0)</f>
        <v/>
      </c>
      <c r="E27" s="10" t="n">
        <v>16209</v>
      </c>
      <c r="F27" s="4" t="inlineStr">
        <is>
          <t>중</t>
        </is>
      </c>
      <c r="G27" s="10">
        <f>VLOOKUP(F27,$A$13:$C$15,2,FALSE)</f>
        <v/>
      </c>
      <c r="H27" s="10">
        <f>VLOOKUP(F27,$A$13:$C$15,3,FALSE)</f>
        <v/>
      </c>
      <c r="I27" s="10">
        <f>$B$5*$B$6</f>
        <v/>
      </c>
      <c r="J27" s="11">
        <f>D27-E27-G27-H27-I27</f>
        <v/>
      </c>
      <c r="K27" s="12">
        <f>J27/D27</f>
        <v/>
      </c>
      <c r="L27" s="10">
        <f>IF(C27&gt;=10000,ROUND((C27-$B$7)/1.1,0),D27)-E27-G27-H27-I27</f>
        <v/>
      </c>
      <c r="M27" s="10">
        <f>ROUND(C27*0.9/1.1,0)-E27-G27-H27</f>
        <v/>
      </c>
      <c r="N27" s="10">
        <f>IF(C27&gt;=$B$9,D27-G27,D27+ROUND($B$8/1.1,0)-G27)-E27-H27</f>
        <v/>
      </c>
      <c r="O27" s="6" t="inlineStr">
        <is>
          <t>원가 정리 파일</t>
        </is>
      </c>
    </row>
    <row r="28">
      <c r="A28" s="4" t="inlineStr">
        <is>
          <t>라 에스메랄다 게이샤(싱글)</t>
        </is>
      </c>
      <c r="B28" s="4" t="inlineStr">
        <is>
          <t>200g</t>
        </is>
      </c>
      <c r="C28" s="10" t="n">
        <v>30000</v>
      </c>
      <c r="D28" s="10">
        <f>ROUND(C28/1.1,0)</f>
        <v/>
      </c>
      <c r="E28" s="5">
        <f>ROUND(52000/(1-0.15)*0.2+636,0)</f>
        <v/>
      </c>
      <c r="F28" s="4" t="inlineStr">
        <is>
          <t>극소</t>
        </is>
      </c>
      <c r="G28" s="10">
        <f>VLOOKUP(F28,$A$13:$C$15,2,FALSE)</f>
        <v/>
      </c>
      <c r="H28" s="10">
        <f>VLOOKUP(F28,$A$13:$C$15,3,FALSE)</f>
        <v/>
      </c>
      <c r="I28" s="10">
        <f>$B$5*$B$6</f>
        <v/>
      </c>
      <c r="J28" s="11">
        <f>D28-E28-G28-H28-I28</f>
        <v/>
      </c>
      <c r="K28" s="12">
        <f>J28/D28</f>
        <v/>
      </c>
      <c r="L28" s="10">
        <f>IF(C28&gt;=10000,ROUND((C28-$B$7)/1.1,0),D28)-E28-G28-H28-I28</f>
        <v/>
      </c>
      <c r="M28" s="10">
        <f>ROUND(C28*0.9/1.1,0)-E28-G28-H28</f>
        <v/>
      </c>
      <c r="N28" s="10">
        <f>IF(C28&gt;=$B$9,D28-G28,D28+ROUND($B$8/1.1,0)-G28)-E28-H28</f>
        <v/>
      </c>
      <c r="O28" s="6" t="inlineStr">
        <is>
          <t>추정: 생두 52,000원/kg, 로스팅 손실 15%(블렌드 3종 13.5~16.3% 사이로 가정)</t>
        </is>
      </c>
    </row>
    <row r="29">
      <c r="A29" s="4" t="inlineStr">
        <is>
          <t>라 에스메랄다 게이샤(싱글)</t>
        </is>
      </c>
      <c r="B29" s="4" t="inlineStr">
        <is>
          <t>500g</t>
        </is>
      </c>
      <c r="C29" s="10" t="n">
        <v>60000</v>
      </c>
      <c r="D29" s="10">
        <f>ROUND(C29/1.1,0)</f>
        <v/>
      </c>
      <c r="E29" s="5">
        <f>ROUND(52000/(1-0.15)*0.5+751,0)</f>
        <v/>
      </c>
      <c r="F29" s="4" t="inlineStr">
        <is>
          <t>소</t>
        </is>
      </c>
      <c r="G29" s="10">
        <f>VLOOKUP(F29,$A$13:$C$15,2,FALSE)</f>
        <v/>
      </c>
      <c r="H29" s="10">
        <f>VLOOKUP(F29,$A$13:$C$15,3,FALSE)</f>
        <v/>
      </c>
      <c r="I29" s="10">
        <f>$B$5*$B$6</f>
        <v/>
      </c>
      <c r="J29" s="11">
        <f>D29-E29-G29-H29-I29</f>
        <v/>
      </c>
      <c r="K29" s="12">
        <f>J29/D29</f>
        <v/>
      </c>
      <c r="L29" s="10">
        <f>IF(C29&gt;=10000,ROUND((C29-$B$7)/1.1,0),D29)-E29-G29-H29-I29</f>
        <v/>
      </c>
      <c r="M29" s="10">
        <f>ROUND(C29*0.9/1.1,0)-E29-G29-H29</f>
        <v/>
      </c>
      <c r="N29" s="10">
        <f>IF(C29&gt;=$B$9,D29-G29,D29+ROUND($B$8/1.1,0)-G29)-E29-H29</f>
        <v/>
      </c>
      <c r="O29" s="6" t="inlineStr">
        <is>
          <t>추정: 위와 같음</t>
        </is>
      </c>
    </row>
    <row r="30">
      <c r="A30" s="20" t="inlineStr">
        <is>
          <t>허벌 블렌드</t>
        </is>
      </c>
      <c r="B30" s="20" t="inlineStr">
        <is>
          <t>200g</t>
        </is>
      </c>
      <c r="C30" s="20" t="n">
        <v>26000</v>
      </c>
      <c r="D30" s="20">
        <f>ROUND(C30/1.1,0)</f>
        <v/>
      </c>
      <c r="E30" s="20">
        <f>ROUND($J$5*200/1000+636,0)</f>
        <v/>
      </c>
      <c r="F30" s="20" t="inlineStr">
        <is>
          <t>극소</t>
        </is>
      </c>
      <c r="G30" s="20">
        <f>VLOOKUP(F30,$A$13:$C$15,2,FALSE)</f>
        <v/>
      </c>
      <c r="H30" s="20">
        <f>VLOOKUP(F30,$A$13:$C$15,3,FALSE)</f>
        <v/>
      </c>
      <c r="I30" s="20">
        <f>$B$5*$B$6</f>
        <v/>
      </c>
      <c r="J30" s="17">
        <f>D30-E30-G30-H30-I30</f>
        <v/>
      </c>
      <c r="K30" s="21">
        <f>J30/D30</f>
        <v/>
      </c>
      <c r="L30" s="20">
        <f>IF(C30&gt;=10000,ROUND((C30-$B$7)/1.1,0),D30)-E30-G30-H30-I30</f>
        <v/>
      </c>
      <c r="M30" s="20">
        <f>ROUND(C30*0.9/1.1,0)-E30-G30-H30</f>
        <v/>
      </c>
      <c r="N30" s="20">
        <f>IF(C30&gt;=$B$9,D30-G30,D30+ROUND($B$8/1.1,0)-G30)-E30-H30</f>
        <v/>
      </c>
      <c r="O30" s="22" t="inlineStr">
        <is>
          <t>추정: 생두 가중평균 ÷ (1−손실률) + 포장재. 판매가는 대표 10/28 결정</t>
        </is>
      </c>
    </row>
    <row r="31">
      <c r="A31" s="20" t="inlineStr">
        <is>
          <t>허벌 블렌드</t>
        </is>
      </c>
      <c r="B31" s="20" t="inlineStr">
        <is>
          <t>500g</t>
        </is>
      </c>
      <c r="C31" s="20" t="n">
        <v>52000</v>
      </c>
      <c r="D31" s="20">
        <f>ROUND(C31/1.1,0)</f>
        <v/>
      </c>
      <c r="E31" s="20">
        <f>ROUND($J$5*500/1000+751,0)</f>
        <v/>
      </c>
      <c r="F31" s="20" t="inlineStr">
        <is>
          <t>소</t>
        </is>
      </c>
      <c r="G31" s="20">
        <f>VLOOKUP(F31,$A$13:$C$15,2,FALSE)</f>
        <v/>
      </c>
      <c r="H31" s="20">
        <f>VLOOKUP(F31,$A$13:$C$15,3,FALSE)</f>
        <v/>
      </c>
      <c r="I31" s="20">
        <f>$B$5*$B$6</f>
        <v/>
      </c>
      <c r="J31" s="17">
        <f>D31-E31-G31-H31-I31</f>
        <v/>
      </c>
      <c r="K31" s="21">
        <f>J31/D31</f>
        <v/>
      </c>
      <c r="L31" s="20">
        <f>IF(C31&gt;=10000,ROUND((C31-$B$7)/1.1,0),D31)-E31-G31-H31-I31</f>
        <v/>
      </c>
      <c r="M31" s="20">
        <f>ROUND(C31*0.9/1.1,0)-E31-G31-H31</f>
        <v/>
      </c>
      <c r="N31" s="20">
        <f>IF(C31&gt;=$B$9,D31-G31,D31+ROUND($B$8/1.1,0)-G31)-E31-H31</f>
        <v/>
      </c>
      <c r="O31" s="22" t="inlineStr">
        <is>
          <t>추정: 생두 가중평균 ÷ (1−손실률) + 포장재. 판매가는 대표 10/28 결정</t>
        </is>
      </c>
    </row>
    <row r="32"/>
    <row r="33">
      <c r="A33" s="3" t="inlineStr">
        <is>
          <t>읽는 법</t>
        </is>
      </c>
    </row>
    <row r="34">
      <c r="A34" s="13" t="inlineStr">
        <is>
          <t>· 확정(10/28): 카페쇼 원두 주문은 무료배송 + 주문 1건당 드립백 2개 덤. 이익 = 공급가액 − 1봉 원가 − 택배비 − 박스 − 덤.</t>
        </is>
      </c>
    </row>
    <row r="35">
      <c r="A35" s="13" t="inlineStr">
        <is>
          <t>· 가입 쿠폰은 다른 할인과 중복이 안 되는데, 덤 방식은 할인이 아니라서 1만 원 이상이면 쿠폰을 같이 쓸 수 있어요.</t>
        </is>
      </c>
    </row>
    <row r="36">
      <c r="A36" s="13" t="inlineStr">
        <is>
          <t>· 10% 할인 칸은 비교용(덤 없음). 평소 자사몰 칸은 5만 원 미만이면 고객이 배송비 3,000원을 내는 경우.</t>
        </is>
      </c>
    </row>
    <row r="37">
      <c r="A37" s="13" t="inlineStr">
        <is>
          <t>· 허벌 판매가(200g 26,000 / 500g 52,000)는 대표 10/28 결정. 원가는 추정이라 노란 칸을 실제 값으로 바꾸세요.</t>
        </is>
      </c>
    </row>
    <row r="38">
      <c r="A38" s="13" t="inlineStr">
        <is>
          <t>· 원가에 인건비·로스팅 가스비·카드/페이 수수료는 없어요. 생두·포장재·택배 단가의 부가세 포함 여부는 자료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2026-10-28T00:41:06Z</dcterms:created>
  <dcterms:modified xmlns:dcterms="http://purl.org/dc/terms/" xmlns:xsi="http://www.w3.org/2001/XMLSchema-instance" xsi:type="dcterms:W3CDTF">2026-10-28T01:37:12Z</dcterms:modified>
</cp:coreProperties>
</file>